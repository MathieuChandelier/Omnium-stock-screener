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Hypotheses" sheetId="2" state="visible" r:id="rId2"/>
    <sheet xmlns:r="http://schemas.openxmlformats.org/officeDocument/2006/relationships" name="Historique" sheetId="3" state="visible" r:id="rId3"/>
    <sheet xmlns:r="http://schemas.openxmlformats.org/officeDocument/2006/relationships" name="Modele" sheetId="4" state="visible" r:id="rId4"/>
    <sheet xmlns:r="http://schemas.openxmlformats.org/officeDocument/2006/relationships" name="Controles" sheetId="5" state="visible" r:id="rId5"/>
  </sheets>
  <definedNames>
    <definedName name="g_2026">'Hypotheses'!$C$3</definedName>
    <definedName name="g_2027">'Hypotheses'!$C$4</definedName>
    <definedName name="g_2028">'Hypotheses'!$C$5</definedName>
    <definedName name="g_2029">'Hypotheses'!$C$6</definedName>
    <definedName name="g_2030">'Hypotheses'!$C$7</definedName>
    <definedName name="marge_2026">'Hypotheses'!$C$8</definedName>
    <definedName name="marge_2027">'Hypotheses'!$C$9</definedName>
    <definedName name="marge_2028">'Hypotheses'!$C$10</definedName>
    <definedName name="marge_2029">'Hypotheses'!$C$11</definedName>
    <definedName name="marge_2030">'Hypotheses'!$C$12</definedName>
    <definedName name="tauxIS_2026">'Hypotheses'!$C$13</definedName>
    <definedName name="tauxIS_2027">'Hypotheses'!$C$14</definedName>
    <definedName name="tauxIS_2028">'Hypotheses'!$C$15</definedName>
    <definedName name="tauxIS_2029">'Hypotheses'!$C$16</definedName>
    <definedName name="tauxIS_2030">'Hypotheses'!$C$17</definedName>
    <definedName name="capexRatio">'Hypotheses'!$C$18</definedName>
    <definedName name="dureeAmort">'Hypotheses'!$C$19</definedName>
    <definedName name="tauxDette">'Hypotheses'!$C$20</definedName>
    <definedName name="tauxCash">'Hypotheses'!$C$21</definedName>
    <definedName name="tauxLease">'Hypotheses'!$C$22</definedName>
    <definedName name="rachatPct">'Hypotheses'!$C$23</definedName>
    <definedName name="tauxDistrib">'Hypotheses'!$C$24</definedName>
    <definedName name="gTerminal">'Hypotheses'!$C$25</definedName>
    <definedName name="margeTerminale">'Hypotheses'!$C$26</definedName>
    <definedName name="partMinos">'Hypotheses'!$C$27</definedName>
    <definedName name="pub_ca">'Historique'!$B$3</definedName>
    <definedName name="pub_margeBrute">'Historique'!$B$4</definedName>
    <definedName name="pub_ebitda">'Historique'!$B$5</definedName>
    <definedName name="pub_da">'Historique'!$B$6</definedName>
    <definedName name="pub_ebit">'Historique'!$B$7</definedName>
    <definedName name="pub_finNet">'Historique'!$B$8</definedName>
    <definedName name="pub_avantImpot">'Historique'!$B$9</definedName>
    <definedName name="pub_impot">'Historique'!$B$10</definedName>
    <definedName name="pub_minoritaires">'Historique'!$B$11</definedName>
    <definedName name="pub_net">'Historique'!$B$12</definedName>
    <definedName name="impotRet">'Historique'!$D$26</definedName>
    <definedName name="ajPub_ebitda">'Historique'!$B$33</definedName>
    <definedName name="ajPub_ebit">'Historique'!$C$33</definedName>
    <definedName name="ajPub_net">'Historique'!$D$33</definedName>
    <definedName name="CA_2025">'Modele'!$B$3</definedName>
    <definedName name="CA_2026">'Modele'!$C$3</definedName>
    <definedName name="CA_2027">'Modele'!$D$3</definedName>
    <definedName name="CA_2028">'Modele'!$E$3</definedName>
    <definedName name="CA_2029">'Modele'!$F$3</definedName>
    <definedName name="CA_2030">'Modele'!$G$3</definedName>
    <definedName name="dette_2025">'Modele'!$B$11</definedName>
    <definedName name="dette_2026">'Modele'!$C$11</definedName>
    <definedName name="dette_2027">'Modele'!$D$11</definedName>
    <definedName name="dette_2028">'Modele'!$E$11</definedName>
    <definedName name="dette_2029">'Modele'!$F$11</definedName>
    <definedName name="dette_2030">'Modele'!$G$11</definedName>
    <definedName name="cash_2025">'Modele'!$B$12</definedName>
    <definedName name="cash_2026">'Modele'!$C$12</definedName>
    <definedName name="cash_2027">'Modele'!$D$12</definedName>
    <definedName name="cash_2028">'Modele'!$E$12</definedName>
    <definedName name="cash_2029">'Modele'!$F$12</definedName>
    <definedName name="cash_2030">'Modele'!$G$12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#,##0.0"/>
    <numFmt numFmtId="166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000190"/>
      <sz val="10"/>
    </font>
    <font>
      <name val="Calibri"/>
      <color rgb="000D0D1A"/>
      <sz val="10"/>
    </font>
    <font>
      <name val="Calibri"/>
      <color rgb="0064748B"/>
      <sz val="9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00000190"/>
      </patternFill>
    </fill>
    <fill>
      <patternFill patternType="solid">
        <fgColor rgb="00EEF0FB"/>
      </patternFill>
    </fill>
    <fill>
      <patternFill patternType="solid">
        <fgColor rgb="00F2FCFA"/>
      </patternFill>
    </fill>
    <fill>
      <patternFill patternType="solid">
        <fgColor rgb="00FFF3CD"/>
      </patternFill>
    </fill>
    <fill>
      <patternFill patternType="solid">
        <fgColor rgb="00E6FAF8"/>
      </patternFill>
    </fill>
  </fills>
  <borders count="2">
    <border>
      <left/>
      <right/>
      <top/>
      <bottom/>
      <diagonal/>
    </border>
    <border>
      <bottom style="thin">
        <color rgb="00D8DBE8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2" borderId="0" pivotButton="0" quotePrefix="0" xfId="0"/>
    <xf numFmtId="0" fontId="2" fillId="3" borderId="0" pivotButton="0" quotePrefix="0" xfId="0"/>
    <xf numFmtId="0" fontId="3" fillId="0" borderId="1" pivotButton="0" quotePrefix="0" xfId="0"/>
    <xf numFmtId="0" fontId="4" fillId="0" borderId="1" pivotButton="0" quotePrefix="0" xfId="0"/>
    <xf numFmtId="164" fontId="5" fillId="0" borderId="1" pivotButton="0" quotePrefix="0" xfId="0"/>
    <xf numFmtId="0" fontId="4" fillId="0" borderId="1" applyAlignment="1" pivotButton="0" quotePrefix="0" xfId="0">
      <alignment vertical="top" wrapText="1"/>
    </xf>
    <xf numFmtId="0" fontId="3" fillId="0" borderId="0" pivotButton="0" quotePrefix="0" xfId="0"/>
    <xf numFmtId="165" fontId="5" fillId="0" borderId="0" pivotButton="0" quotePrefix="0" xfId="0"/>
    <xf numFmtId="0" fontId="4" fillId="0" borderId="0" pivotButton="0" quotePrefix="0" xfId="0"/>
    <xf numFmtId="2" fontId="5" fillId="0" borderId="0" pivotButton="0" quotePrefix="0" xfId="0"/>
    <xf numFmtId="0" fontId="5" fillId="0" borderId="0" pivotButton="0" quotePrefix="0" xfId="0"/>
    <xf numFmtId="0" fontId="2" fillId="4" borderId="0" pivotButton="0" quotePrefix="0" xfId="0"/>
    <xf numFmtId="165" fontId="5" fillId="4" borderId="0" pivotButton="0" quotePrefix="0" xfId="0"/>
    <xf numFmtId="165" fontId="4" fillId="0" borderId="0" pivotButton="0" quotePrefix="0" xfId="0"/>
    <xf numFmtId="166" fontId="5" fillId="4" borderId="0" pivotButton="0" quotePrefix="0" xfId="0"/>
    <xf numFmtId="166" fontId="4" fillId="0" borderId="0" pivotButton="0" quotePrefix="0" xfId="0"/>
    <xf numFmtId="165" fontId="5" fillId="5" borderId="0" pivotButton="0" quotePrefix="0" xfId="0"/>
    <xf numFmtId="4" fontId="5" fillId="0" borderId="0" pivotButton="0" quotePrefix="0" xfId="0"/>
    <xf numFmtId="4" fontId="5" fillId="4" borderId="0" pivotButton="0" quotePrefix="0" xfId="0"/>
    <xf numFmtId="4" fontId="4" fillId="0" borderId="0" pivotButton="0" quotePrefix="0" xfId="0"/>
    <xf numFmtId="0" fontId="4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Omnium engine</author>
  </authors>
  <commentList>
    <comment ref="D17" authorId="0" shapeId="0">
      <text>
        <t>OVERRIDE DECLARE
Exercice en perte avant impot, mais l'impot reste une CHARGE : les deficits du perimetre Nord ne donnent pas lieu a reconnaissance d'actifs d'impot differe (perspectives de recuperation insuffisantes), et les filiales beneficiaires restent imposees localement. Un taux normatif applique mecaniquement aurait produit un PRODUIT d'impot de +6,7, soit une erreur de 12,7 sur le resultat net. Cas verifie en reel sur SEB au S1 2026.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6" customWidth="1" min="1" max="1"/>
    <col width="96" customWidth="1" min="2" max="2"/>
  </cols>
  <sheetData>
    <row r="1">
      <c r="A1" s="1" t="inlineStr">
        <is>
          <t>Complexe SA — moteur v1.0.0 — empreinte daaf23ea1ee0</t>
        </is>
      </c>
    </row>
    <row r="2">
      <c r="A2" s="2" t="inlineStr"/>
      <c r="B2" s="3" t="inlineStr"/>
    </row>
    <row r="3">
      <c r="A3" s="2" t="inlineStr">
        <is>
          <t>Ce que contient ce fichier</t>
        </is>
      </c>
      <c r="B3" s="3" t="inlineStr">
        <is>
          <t>Les FORMULES du moteur, pas ses resultats. Chaque cellule calculee est une formule ecrite sur des variables nommees, lisible et modifiable.</t>
        </is>
      </c>
    </row>
    <row r="4">
      <c r="A4" s="2" t="inlineStr">
        <is>
          <t>Le test integre</t>
        </is>
      </c>
      <c r="B4" s="3" t="inlineStr">
        <is>
          <t>Colonne 'moteur' = la valeur produite par engine/model.py. La feuille Controles compare formule et moteur ligne a ligne : un ecart s'affiche a l'ouverture.</t>
        </is>
      </c>
    </row>
    <row r="5">
      <c r="A5" s="2" t="inlineStr">
        <is>
          <t>Peremption</t>
        </is>
      </c>
      <c r="B5" s="3" t="inlineStr">
        <is>
          <t>Une hypothese de rang 'guidance' ne vaut QUE pour son exercice. Au-dela le moteur bascule sur le normatif - visible dans la colonne rang de la feuille Modele.</t>
        </is>
      </c>
    </row>
    <row r="6">
      <c r="A6" s="2" t="inlineStr">
        <is>
          <t>Rang du resultat financier</t>
        </is>
      </c>
      <c r="B6" s="3" t="inlineStr">
        <is>
          <t>1 = detail publie par instrument. 2 = taux appliques aux postes de bilan decomposes. 3 = spread normatif sur la dette nette. La valeur est retournee AVEC son rang.</t>
        </is>
      </c>
    </row>
    <row r="7">
      <c r="A7" s="2" t="inlineStr">
        <is>
          <t>Base Omnium</t>
        </is>
      </c>
      <c r="B7" s="3" t="inlineStr">
        <is>
          <t>publie + vrais one-offs nets d'impot. L'ajuste du management ajoute en plus les recurrents-deguises : c'est le coin, et Omnium le GARDE.</t>
        </is>
      </c>
    </row>
    <row r="8">
      <c r="A8" s="2" t="inlineStr">
        <is>
          <t>Si l'empreinte ne correspond plus</t>
        </is>
      </c>
      <c r="B8" s="3" t="inlineStr">
        <is>
          <t>Les entrees ont change depuis la generation : cette feuille est perimee, regenerez-la.</t>
        </is>
      </c>
    </row>
    <row r="9">
      <c r="A9" s="2" t="inlineStr"/>
      <c r="B9" s="3" t="inlineStr"/>
    </row>
    <row r="10">
      <c r="A10" s="2" t="inlineStr">
        <is>
          <t>Devise de reporting</t>
        </is>
      </c>
      <c r="B10" s="3" t="inlineStr">
        <is>
          <t>EUR</t>
        </is>
      </c>
    </row>
    <row r="11">
      <c r="A11" s="2" t="inlineStr">
        <is>
          <t>Devise de cotation</t>
        </is>
      </c>
      <c r="B11" s="3" t="inlineStr">
        <is>
          <t>EUR</t>
        </is>
      </c>
    </row>
    <row r="12">
      <c r="A12" s="2" t="inlineStr">
        <is>
          <t>Cours</t>
        </is>
      </c>
      <c r="B12" s="3" t="inlineStr">
        <is>
          <t>47.0 au 2026-08-22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4" customWidth="1" min="5" max="5"/>
    <col width="62" customWidth="1" min="6" max="6"/>
  </cols>
  <sheetData>
    <row r="1">
      <c r="A1" s="1" t="inlineStr">
        <is>
          <t>MOTEURS — toute cellule projetee est pilotee par l'un d'eux</t>
        </is>
      </c>
      <c r="B1" s="4" t="n"/>
      <c r="C1" s="4" t="n"/>
      <c r="D1" s="4" t="n"/>
      <c r="E1" s="4" t="n"/>
      <c r="F1" s="4" t="n"/>
    </row>
    <row r="2">
      <c r="A2" s="5" t="inlineStr">
        <is>
          <t>moteur</t>
        </is>
      </c>
      <c r="B2" s="5" t="inlineStr">
        <is>
          <t>variable</t>
        </is>
      </c>
      <c r="C2" s="5" t="inlineStr">
        <is>
          <t>valeur</t>
        </is>
      </c>
      <c r="D2" s="5" t="inlineStr">
        <is>
          <t>rang</t>
        </is>
      </c>
      <c r="E2" s="5" t="inlineStr">
        <is>
          <t>expire</t>
        </is>
      </c>
      <c r="F2" s="5" t="inlineStr">
        <is>
          <t>justification / source</t>
        </is>
      </c>
    </row>
    <row r="3">
      <c r="A3" s="6" t="inlineStr">
        <is>
          <t>Croissance du CA 2026</t>
        </is>
      </c>
      <c r="B3" s="7" t="inlineStr">
        <is>
          <t>g_2026</t>
        </is>
      </c>
      <c r="C3" s="8" t="n">
        <v>0.03</v>
      </c>
      <c r="D3" s="7" t="inlineStr">
        <is>
          <t>guidance</t>
        </is>
      </c>
      <c r="E3" s="7" t="n">
        <v>2026</v>
      </c>
      <c r="F3" s="9" t="inlineStr">
        <is>
          <t>Guidance FY26 : croissance organique +2 a +4 %</t>
        </is>
      </c>
    </row>
    <row r="4">
      <c r="A4" s="6" t="inlineStr">
        <is>
          <t>Croissance du CA 2027</t>
        </is>
      </c>
      <c r="B4" s="7" t="inlineStr">
        <is>
          <t>g_2027</t>
        </is>
      </c>
      <c r="C4" s="8" t="n">
        <v>-0.06</v>
      </c>
      <c r="D4" s="7" t="inlineStr">
        <is>
          <t>implicite</t>
        </is>
      </c>
      <c r="E4" s="7" t="inlineStr">
        <is>
          <t>—</t>
        </is>
      </c>
      <c r="F4" s="9" t="inlineStr">
        <is>
          <t>Perte du contrat Delta (25 % du CA de la division Nord), non renouvele au 30/06/2027</t>
        </is>
      </c>
    </row>
    <row r="5">
      <c r="A5" s="6" t="inlineStr">
        <is>
          <t>Croissance du CA 2028</t>
        </is>
      </c>
      <c r="B5" s="7" t="inlineStr">
        <is>
          <t>g_2028</t>
        </is>
      </c>
      <c r="C5" s="8" t="n">
        <v>0.04</v>
      </c>
      <c r="D5" s="7" t="inlineStr">
        <is>
          <t>normatif</t>
        </is>
      </c>
      <c r="E5" s="7" t="inlineStr">
        <is>
          <t>—</t>
        </is>
      </c>
      <c r="F5" s="9" t="inlineStr">
        <is>
          <t>Retour a la croissance de marche apres l'effet de base</t>
        </is>
      </c>
    </row>
    <row r="6">
      <c r="A6" s="6" t="inlineStr">
        <is>
          <t>Croissance du CA 2029</t>
        </is>
      </c>
      <c r="B6" s="7" t="inlineStr">
        <is>
          <t>g_2029</t>
        </is>
      </c>
      <c r="C6" s="8" t="n">
        <v>0.045</v>
      </c>
      <c r="D6" s="7" t="inlineStr">
        <is>
          <t>normatif</t>
        </is>
      </c>
      <c r="E6" s="7" t="inlineStr">
        <is>
          <t>—</t>
        </is>
      </c>
      <c r="F6" s="9" t="inlineStr">
        <is>
          <t>Retour a la croissance de marche apres l'effet de base</t>
        </is>
      </c>
    </row>
    <row r="7">
      <c r="A7" s="6" t="inlineStr">
        <is>
          <t>Croissance du CA 2030</t>
        </is>
      </c>
      <c r="B7" s="7" t="inlineStr">
        <is>
          <t>g_2030</t>
        </is>
      </c>
      <c r="C7" s="8" t="n">
        <v>0.045</v>
      </c>
      <c r="D7" s="7" t="inlineStr">
        <is>
          <t>normatif</t>
        </is>
      </c>
      <c r="E7" s="7" t="inlineStr">
        <is>
          <t>—</t>
        </is>
      </c>
      <c r="F7" s="9" t="inlineStr">
        <is>
          <t>Retour a la croissance de marche apres l'effet de base</t>
        </is>
      </c>
    </row>
    <row r="8">
      <c r="A8" s="6" t="inlineStr">
        <is>
          <t>Marge d'EBITDA 2026</t>
        </is>
      </c>
      <c r="B8" s="7" t="inlineStr">
        <is>
          <t>marge_2026</t>
        </is>
      </c>
      <c r="C8" s="8" t="n">
        <v>0.192</v>
      </c>
      <c r="D8" s="7" t="inlineStr">
        <is>
          <t>guidance</t>
        </is>
      </c>
      <c r="E8" s="7" t="n">
        <v>2026</v>
      </c>
      <c r="F8" s="9" t="inlineStr">
        <is>
          <t>Guidance FY26 : marge d'EBITDA ajustee 19 a 19,5 %</t>
        </is>
      </c>
    </row>
    <row r="9">
      <c r="A9" s="6" t="inlineStr">
        <is>
          <t>Marge d'EBITDA 2027</t>
        </is>
      </c>
      <c r="B9" s="7" t="inlineStr">
        <is>
          <t>marge_2027</t>
        </is>
      </c>
      <c r="C9" s="8" t="n">
        <v>0.15</v>
      </c>
      <c r="D9" s="7" t="inlineStr">
        <is>
          <t>implicite</t>
        </is>
      </c>
      <c r="E9" s="7" t="inlineStr">
        <is>
          <t>—</t>
        </is>
      </c>
      <c r="F9" s="9" t="inlineStr">
        <is>
          <t>Effet de levier operationnel inverse sur la perte du contrat Delta, couts fixes non ajustables a court terme</t>
        </is>
      </c>
    </row>
    <row r="10">
      <c r="A10" s="6" t="inlineStr">
        <is>
          <t>Marge d'EBITDA 2028</t>
        </is>
      </c>
      <c r="B10" s="7" t="inlineStr">
        <is>
          <t>marge_2028</t>
        </is>
      </c>
      <c r="C10" s="8" t="n">
        <v>0.178</v>
      </c>
      <c r="D10" s="7" t="inlineStr">
        <is>
          <t>implicite</t>
        </is>
      </c>
      <c r="E10" s="7" t="inlineStr">
        <is>
          <t>—</t>
        </is>
      </c>
      <c r="F10" s="9" t="inlineStr">
        <is>
          <t>Redressement progressif apres restructuration du perimetre Nord</t>
        </is>
      </c>
    </row>
    <row r="11">
      <c r="A11" s="6" t="inlineStr">
        <is>
          <t>Marge d'EBITDA 2029</t>
        </is>
      </c>
      <c r="B11" s="7" t="inlineStr">
        <is>
          <t>marge_2029</t>
        </is>
      </c>
      <c r="C11" s="8" t="n">
        <v>0.19</v>
      </c>
      <c r="D11" s="7" t="inlineStr">
        <is>
          <t>normatif</t>
        </is>
      </c>
      <c r="E11" s="7" t="inlineStr">
        <is>
          <t>—</t>
        </is>
      </c>
      <c r="F11" s="9" t="inlineStr">
        <is>
          <t>Retour au niveau de marge historique</t>
        </is>
      </c>
    </row>
    <row r="12">
      <c r="A12" s="6" t="inlineStr">
        <is>
          <t>Marge d'EBITDA 2030</t>
        </is>
      </c>
      <c r="B12" s="7" t="inlineStr">
        <is>
          <t>marge_2030</t>
        </is>
      </c>
      <c r="C12" s="8" t="n">
        <v>0.195</v>
      </c>
      <c r="D12" s="7" t="inlineStr">
        <is>
          <t>normatif</t>
        </is>
      </c>
      <c r="E12" s="7" t="inlineStr">
        <is>
          <t>—</t>
        </is>
      </c>
      <c r="F12" s="9" t="inlineStr">
        <is>
          <t>Retour au niveau de marge historique</t>
        </is>
      </c>
    </row>
    <row r="13">
      <c r="A13" s="6" t="inlineStr">
        <is>
          <t>Taux d'impot 2026</t>
        </is>
      </c>
      <c r="B13" s="7" t="inlineStr">
        <is>
          <t>tauxIS_2026</t>
        </is>
      </c>
      <c r="C13" s="8" t="n">
        <v>0.27</v>
      </c>
      <c r="D13" s="7" t="inlineStr">
        <is>
          <t>guidance</t>
        </is>
      </c>
      <c r="E13" s="7" t="n">
        <v>2026</v>
      </c>
      <c r="F13" s="9" t="inlineStr">
        <is>
          <t>Taux effectif guide 26-28 % pour FY26</t>
        </is>
      </c>
    </row>
    <row r="14">
      <c r="A14" s="6" t="inlineStr">
        <is>
          <t>Taux d'impot 2027</t>
        </is>
      </c>
      <c r="B14" s="7" t="inlineStr">
        <is>
          <t>tauxIS_2027</t>
        </is>
      </c>
      <c r="C14" s="8" t="n">
        <v>0.285</v>
      </c>
      <c r="D14" s="7" t="inlineStr">
        <is>
          <t>normatif</t>
        </is>
      </c>
      <c r="E14" s="7" t="inlineStr">
        <is>
          <t>—</t>
        </is>
      </c>
      <c r="F14" s="9" t="inlineStr">
        <is>
          <t>Taux effectif observe nettoye des elements discrets, moyenne 3 ans, releve de 1,5 pt par la reforme fiscale votee en 2026</t>
        </is>
      </c>
    </row>
    <row r="15">
      <c r="A15" s="6" t="inlineStr">
        <is>
          <t>Taux d'impot 2028</t>
        </is>
      </c>
      <c r="B15" s="7" t="inlineStr">
        <is>
          <t>tauxIS_2028</t>
        </is>
      </c>
      <c r="C15" s="8" t="n">
        <v>0.285</v>
      </c>
      <c r="D15" s="7" t="inlineStr">
        <is>
          <t>normatif</t>
        </is>
      </c>
      <c r="E15" s="7" t="inlineStr">
        <is>
          <t>—</t>
        </is>
      </c>
      <c r="F15" s="9" t="inlineStr">
        <is>
          <t>Taux effectif observe nettoye des elements discrets, moyenne 3 ans, releve de 1,5 pt par la reforme fiscale votee en 2026</t>
        </is>
      </c>
    </row>
    <row r="16">
      <c r="A16" s="6" t="inlineStr">
        <is>
          <t>Taux d'impot 2029</t>
        </is>
      </c>
      <c r="B16" s="7" t="inlineStr">
        <is>
          <t>tauxIS_2029</t>
        </is>
      </c>
      <c r="C16" s="8" t="n">
        <v>0.285</v>
      </c>
      <c r="D16" s="7" t="inlineStr">
        <is>
          <t>normatif</t>
        </is>
      </c>
      <c r="E16" s="7" t="inlineStr">
        <is>
          <t>—</t>
        </is>
      </c>
      <c r="F16" s="9" t="inlineStr">
        <is>
          <t>Taux effectif observe nettoye des elements discrets, moyenne 3 ans, releve de 1,5 pt par la reforme fiscale votee en 2026</t>
        </is>
      </c>
    </row>
    <row r="17">
      <c r="A17" s="6" t="inlineStr">
        <is>
          <t>Taux d'impot 2030</t>
        </is>
      </c>
      <c r="B17" s="7" t="inlineStr">
        <is>
          <t>tauxIS_2030</t>
        </is>
      </c>
      <c r="C17" s="8" t="n">
        <v>0.285</v>
      </c>
      <c r="D17" s="7" t="inlineStr">
        <is>
          <t>normatif</t>
        </is>
      </c>
      <c r="E17" s="7" t="inlineStr">
        <is>
          <t>—</t>
        </is>
      </c>
      <c r="F17" s="9" t="inlineStr">
        <is>
          <t>Taux effectif observe nettoye des elements discrets, moyenne 3 ans, releve de 1,5 pt par la reforme fiscale votee en 2026</t>
        </is>
      </c>
    </row>
    <row r="18">
      <c r="A18" s="6" t="inlineStr">
        <is>
          <t>Capex / CA</t>
        </is>
      </c>
      <c r="B18" s="7" t="inlineStr">
        <is>
          <t>capexRatio</t>
        </is>
      </c>
      <c r="C18" s="8" t="n">
        <v>0.055</v>
      </c>
      <c r="D18" s="7" t="inlineStr">
        <is>
          <t>normatif</t>
        </is>
      </c>
      <c r="E18" s="7" t="inlineStr">
        <is>
          <t>—</t>
        </is>
      </c>
      <c r="F18" s="9" t="inlineStr">
        <is>
          <t>Ratio de capex normatif, moyenne des 3 derniers exercices</t>
        </is>
      </c>
    </row>
    <row r="19">
      <c r="A19" s="6" t="inlineStr">
        <is>
          <t>Duree d'amortissement</t>
        </is>
      </c>
      <c r="B19" s="7" t="inlineStr">
        <is>
          <t>dureeAmort</t>
        </is>
      </c>
      <c r="C19" s="8" t="n">
        <v>9</v>
      </c>
      <c r="D19" s="7" t="inlineStr">
        <is>
          <t>normatif</t>
        </is>
      </c>
      <c r="E19" s="7" t="inlineStr">
        <is>
          <t>—</t>
        </is>
      </c>
      <c r="F19" s="9" t="inlineStr">
        <is>
          <t>Duree implicite = immobilisations brutes / dotation courante</t>
        </is>
      </c>
    </row>
    <row r="20">
      <c r="A20" s="6" t="inlineStr">
        <is>
          <t>Taux sur dette brute</t>
        </is>
      </c>
      <c r="B20" s="7" t="inlineStr">
        <is>
          <t>tauxDette</t>
        </is>
      </c>
      <c r="C20" s="8" t="n">
        <v>0.048</v>
      </c>
      <c r="D20" s="7" t="inlineStr">
        <is>
          <t>rang 2</t>
        </is>
      </c>
      <c r="E20" s="7" t="inlineStr">
        <is>
          <t>—</t>
        </is>
      </c>
      <c r="F20" s="9" t="inlineStr">
        <is>
          <t>Rang 2 : taux appliques aux postes de bilan decomposes, faute de detail publie par instrument</t>
        </is>
      </c>
    </row>
    <row r="21">
      <c r="A21" s="6" t="inlineStr">
        <is>
          <t>Taux sur tresorerie</t>
        </is>
      </c>
      <c r="B21" s="7" t="inlineStr">
        <is>
          <t>tauxCash</t>
        </is>
      </c>
      <c r="C21" s="8" t="n">
        <v>0.018</v>
      </c>
      <c r="D21" s="7" t="inlineStr">
        <is>
          <t>rang 2</t>
        </is>
      </c>
      <c r="E21" s="7" t="inlineStr">
        <is>
          <t>—</t>
        </is>
      </c>
      <c r="F21" s="9" t="inlineStr">
        <is>
          <t>Rang 2 : taux appliques aux postes de bilan decomposes, faute de detail publie par instrument</t>
        </is>
      </c>
    </row>
    <row r="22">
      <c r="A22" s="6" t="inlineStr">
        <is>
          <t>Taux sur dette locative</t>
        </is>
      </c>
      <c r="B22" s="7" t="inlineStr">
        <is>
          <t>tauxLease</t>
        </is>
      </c>
      <c r="C22" s="8" t="n">
        <v>0.038</v>
      </c>
      <c r="D22" s="7" t="inlineStr">
        <is>
          <t>rang 2</t>
        </is>
      </c>
      <c r="E22" s="7" t="inlineStr">
        <is>
          <t>—</t>
        </is>
      </c>
      <c r="F22" s="9" t="inlineStr">
        <is>
          <t>Rang 2 : taux appliques aux postes de bilan decomposes, faute de detail publie par instrument</t>
        </is>
      </c>
    </row>
    <row r="23">
      <c r="A23" s="6" t="inlineStr">
        <is>
          <t>Rachat d'actions / an</t>
        </is>
      </c>
      <c r="B23" s="7" t="inlineStr">
        <is>
          <t>rachatPct</t>
        </is>
      </c>
      <c r="C23" s="8" t="n">
        <v>0.008</v>
      </c>
      <c r="D23" s="7" t="inlineStr">
        <is>
          <t>implicite</t>
        </is>
      </c>
      <c r="E23" s="7" t="inlineStr">
        <is>
          <t>—</t>
        </is>
      </c>
      <c r="F23" s="9" t="inlineStr">
        <is>
          <t>Rachats limites a la neutralisation de la dilution, aucun programme annonce</t>
        </is>
      </c>
    </row>
    <row r="24">
      <c r="A24" s="6" t="inlineStr">
        <is>
          <t>Taux de distribution</t>
        </is>
      </c>
      <c r="B24" s="7" t="inlineStr">
        <is>
          <t>tauxDistrib</t>
        </is>
      </c>
      <c r="C24" s="8" t="n">
        <v>0.25</v>
      </c>
      <c r="D24" s="7" t="inlineStr">
        <is>
          <t>normatif</t>
        </is>
      </c>
      <c r="E24" s="7" t="inlineStr">
        <is>
          <t>—</t>
        </is>
      </c>
      <c r="F24" s="9" t="inlineStr">
        <is>
          <t>Politique de dividende : 25 % du resultat net</t>
        </is>
      </c>
    </row>
    <row r="25">
      <c r="A25" s="6" t="inlineStr">
        <is>
          <t>Croissance terminale</t>
        </is>
      </c>
      <c r="B25" s="7" t="inlineStr">
        <is>
          <t>gTerminal</t>
        </is>
      </c>
      <c r="C25" s="8" t="n">
        <v>0.03</v>
      </c>
      <c r="D25" s="7" t="inlineStr">
        <is>
          <t>normatif</t>
        </is>
      </c>
      <c r="E25" s="7" t="inlineStr">
        <is>
          <t>—</t>
        </is>
      </c>
      <c r="F25" s="9" t="inlineStr">
        <is>
          <t>Au-dela de l'horizon pose, convergence vers ces valeurs</t>
        </is>
      </c>
    </row>
    <row r="26">
      <c r="A26" s="6" t="inlineStr">
        <is>
          <t>Marge terminale</t>
        </is>
      </c>
      <c r="B26" s="7" t="inlineStr">
        <is>
          <t>margeTerminale</t>
        </is>
      </c>
      <c r="C26" s="8" t="n">
        <v>0.195</v>
      </c>
      <c r="D26" s="7" t="inlineStr">
        <is>
          <t>normatif</t>
        </is>
      </c>
      <c r="E26" s="7" t="inlineStr">
        <is>
          <t>—</t>
        </is>
      </c>
      <c r="F26" s="9" t="inlineStr">
        <is>
          <t>Au-dela de l'horizon pose, convergence vers ces valeurs</t>
        </is>
      </c>
    </row>
    <row r="27">
      <c r="A27" s="6" t="inlineStr">
        <is>
          <t>Minoritaires / resultat</t>
        </is>
      </c>
      <c r="B27" s="7" t="inlineStr">
        <is>
          <t>partMinos</t>
        </is>
      </c>
      <c r="C27" s="8" t="n">
        <v>-0.275</v>
      </c>
      <c r="D27" s="7" t="inlineStr">
        <is>
          <t>normatif</t>
        </is>
      </c>
      <c r="E27" s="7" t="inlineStr">
        <is>
          <t>—</t>
        </is>
      </c>
      <c r="F27" s="9" t="inlineStr">
        <is>
          <t>Part des minoritaires observee au dernier exercice publie, reconduite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46" customWidth="1" min="7" max="7"/>
  </cols>
  <sheetData>
    <row r="1">
      <c r="A1" s="1" t="inlineStr">
        <is>
          <t>ECHELLE PUBLIEE 2025-FY — un modele unique, les barreaux non publies restent vides</t>
        </is>
      </c>
      <c r="B1" s="4" t="n"/>
      <c r="C1" s="4" t="n"/>
      <c r="D1" s="4" t="n"/>
      <c r="E1" s="4" t="n"/>
      <c r="F1" s="4" t="n"/>
      <c r="G1" s="4" t="n"/>
    </row>
    <row r="2">
      <c r="A2" s="5" t="inlineStr">
        <is>
          <t>barreau</t>
        </is>
      </c>
      <c r="B2" s="5" t="inlineStr">
        <is>
          <t>publie</t>
        </is>
      </c>
    </row>
    <row r="3">
      <c r="A3" s="10" t="inlineStr">
        <is>
          <t>ca</t>
        </is>
      </c>
      <c r="B3" s="11" t="n">
        <v>2000</v>
      </c>
    </row>
    <row r="4">
      <c r="A4" s="10" t="inlineStr">
        <is>
          <t>margeBrute</t>
        </is>
      </c>
      <c r="B4" s="11" t="n">
        <v>1100</v>
      </c>
    </row>
    <row r="5">
      <c r="A5" s="10" t="inlineStr">
        <is>
          <t>ebitda</t>
        </is>
      </c>
      <c r="B5" s="11" t="n">
        <v>380</v>
      </c>
    </row>
    <row r="6">
      <c r="A6" s="10" t="inlineStr">
        <is>
          <t>da</t>
        </is>
      </c>
      <c r="B6" s="11" t="n">
        <v>-190</v>
      </c>
    </row>
    <row r="7">
      <c r="A7" s="10" t="inlineStr">
        <is>
          <t>ebit</t>
        </is>
      </c>
      <c r="B7" s="11" t="n">
        <v>190</v>
      </c>
    </row>
    <row r="8">
      <c r="A8" s="10" t="inlineStr">
        <is>
          <t>finNet</t>
        </is>
      </c>
      <c r="B8" s="11" t="n">
        <v>-48</v>
      </c>
    </row>
    <row r="9">
      <c r="A9" s="10" t="inlineStr">
        <is>
          <t>avantImpot</t>
        </is>
      </c>
      <c r="B9" s="11" t="n">
        <v>142</v>
      </c>
    </row>
    <row r="10">
      <c r="A10" s="10" t="inlineStr">
        <is>
          <t>impot</t>
        </is>
      </c>
      <c r="B10" s="11" t="n">
        <v>-40</v>
      </c>
    </row>
    <row r="11">
      <c r="A11" s="10" t="inlineStr">
        <is>
          <t>minoritaires</t>
        </is>
      </c>
      <c r="B11" s="11" t="n">
        <v>-22</v>
      </c>
    </row>
    <row r="12">
      <c r="A12" s="10" t="inlineStr">
        <is>
          <t>net</t>
        </is>
      </c>
      <c r="B12" s="11" t="n">
        <v>80</v>
      </c>
    </row>
    <row r="14">
      <c r="A14" s="2" t="inlineStr">
        <is>
          <t>IDENTITES DE L'ECHELLE</t>
        </is>
      </c>
    </row>
    <row r="15">
      <c r="A15" s="12" t="inlineStr">
        <is>
          <t>ebitda + da = ebit</t>
        </is>
      </c>
      <c r="B15" s="13">
        <f>pub_ebitda+pub_da-pub_ebit</f>
        <v/>
      </c>
      <c r="C15" s="2">
        <f>IF(ABS(B15)&lt;=MAX(1,ABS(pub_ebit)*0.005),"OK","ECART")</f>
        <v/>
      </c>
    </row>
    <row r="16">
      <c r="A16" s="12" t="inlineStr">
        <is>
          <t>ebit + finNet = avantImpot</t>
        </is>
      </c>
      <c r="B16" s="13">
        <f>pub_ebit+pub_finNet-pub_avantImpot</f>
        <v/>
      </c>
      <c r="C16" s="2">
        <f>IF(ABS(B16)&lt;=MAX(1,ABS(pub_avantImpot)*0.005),"OK","ECART")</f>
        <v/>
      </c>
    </row>
    <row r="17">
      <c r="A17" s="12" t="inlineStr">
        <is>
          <t>avantImpot + impot + minoritaires = net</t>
        </is>
      </c>
      <c r="B17" s="13">
        <f>pub_avantImpot+pub_impot+pub_minoritaires-pub_net</f>
        <v/>
      </c>
      <c r="C17" s="2">
        <f>IF(ABS(B17)&lt;=MAX(1,ABS(pub_net)*0.005),"OK","ECART")</f>
        <v/>
      </c>
    </row>
    <row r="19">
      <c r="A19" s="1" t="inlineStr">
        <is>
          <t>RETRAITEMENTS — la table de l'emetteur, ligne a ligne</t>
        </is>
      </c>
      <c r="B19" s="4" t="n"/>
      <c r="C19" s="4" t="n"/>
      <c r="D19" s="4" t="n"/>
      <c r="E19" s="4" t="n"/>
      <c r="F19" s="4" t="n"/>
      <c r="G19" s="4" t="n"/>
    </row>
    <row r="20">
      <c r="A20" s="5" t="inlineStr">
        <is>
          <t>ligne</t>
        </is>
      </c>
      <c r="B20" s="5" t="inlineStr">
        <is>
          <t>ebitda</t>
        </is>
      </c>
      <c r="C20" s="5" t="inlineStr">
        <is>
          <t>ebit</t>
        </is>
      </c>
      <c r="D20" s="5" t="inlineStr">
        <is>
          <t>net</t>
        </is>
      </c>
      <c r="E20" s="5" t="inlineStr">
        <is>
          <t>classe</t>
        </is>
      </c>
      <c r="F20" s="5" t="inlineStr">
        <is>
          <t>origine</t>
        </is>
      </c>
      <c r="G20" s="5" t="inlineStr">
        <is>
          <t>libelle</t>
        </is>
      </c>
    </row>
    <row r="21">
      <c r="A21" s="10" t="inlineStr">
        <is>
          <t>restructuration-plan-2025</t>
        </is>
      </c>
      <c r="B21" s="11" t="n">
        <v>45</v>
      </c>
      <c r="C21" s="11" t="n">
        <v>45</v>
      </c>
      <c r="D21" s="11" t="n">
        <v>45</v>
      </c>
      <c r="E21" s="12" t="inlineStr">
        <is>
          <t>oneOff</t>
        </is>
      </c>
      <c r="F21" s="12" t="inlineStr">
        <is>
          <t>emetteur</t>
        </is>
      </c>
      <c r="G21" s="12" t="inlineStr">
        <is>
          <t>One-off restructuring plan announced in 2025</t>
        </is>
      </c>
    </row>
    <row r="22">
      <c r="A22" s="10" t="inlineStr">
        <is>
          <t>beta-ppa-amort</t>
        </is>
      </c>
      <c r="B22" s="11" t="n">
        <v>0</v>
      </c>
      <c r="C22" s="11" t="n">
        <v>42</v>
      </c>
      <c r="D22" s="11" t="n">
        <v>42</v>
      </c>
      <c r="E22" s="12" t="inlineStr">
        <is>
          <t>recurrent</t>
        </is>
      </c>
      <c r="F22" s="12" t="inlineStr">
        <is>
          <t>emetteur</t>
        </is>
      </c>
      <c r="G22" s="12" t="inlineStr">
        <is>
          <t>Amortisation of intangibles from the Beta PPA</t>
        </is>
      </c>
    </row>
    <row r="23">
      <c r="A23" s="10" t="inlineStr">
        <is>
          <t>gamma-ppa-amort</t>
        </is>
      </c>
      <c r="B23" s="11" t="n">
        <v>0</v>
      </c>
      <c r="C23" s="11" t="n">
        <v>23</v>
      </c>
      <c r="D23" s="11" t="n">
        <v>23</v>
      </c>
      <c r="E23" s="12" t="inlineStr">
        <is>
          <t>recurrent</t>
        </is>
      </c>
      <c r="F23" s="12" t="inlineStr">
        <is>
          <t>emetteur</t>
        </is>
      </c>
      <c r="G23" s="12" t="inlineStr">
        <is>
          <t>Amortisation of intangibles from the Gamma PPA</t>
        </is>
      </c>
    </row>
    <row r="24">
      <c r="A24" s="10" t="inlineStr">
        <is>
          <t>dette-acquisition-interets</t>
        </is>
      </c>
      <c r="B24" s="11" t="n">
        <v>0</v>
      </c>
      <c r="C24" s="11" t="n">
        <v>0</v>
      </c>
      <c r="D24" s="11" t="n">
        <v>14</v>
      </c>
      <c r="E24" s="12" t="inlineStr">
        <is>
          <t>recurrent</t>
        </is>
      </c>
      <c r="F24" s="12" t="inlineStr">
        <is>
          <t>emetteur</t>
        </is>
      </c>
      <c r="G24" s="12" t="inlineStr">
        <is>
          <t>Interest on the acquisition debt</t>
        </is>
      </c>
    </row>
    <row r="25">
      <c r="A25" s="10" t="inlineStr">
        <is>
          <t>litige-provision-2025</t>
        </is>
      </c>
      <c r="B25" s="11" t="n">
        <v>18</v>
      </c>
      <c r="C25" s="11" t="n">
        <v>18</v>
      </c>
      <c r="D25" s="11" t="n">
        <v>18</v>
      </c>
      <c r="E25" s="12" t="inlineStr">
        <is>
          <t>oneOff</t>
        </is>
      </c>
      <c r="F25" s="12" t="inlineStr">
        <is>
          <t>omnium</t>
        </is>
      </c>
      <c r="G25" s="12" t="inlineStr">
        <is>
          <t>Isolated litigation provision, not restated by the issuer</t>
        </is>
      </c>
    </row>
    <row r="26">
      <c r="A26" s="10" t="inlineStr">
        <is>
          <t>impot sur retraitements</t>
        </is>
      </c>
      <c r="D26" s="14" t="n">
        <v>-26</v>
      </c>
    </row>
    <row r="28">
      <c r="A28" s="1" t="inlineStr">
        <is>
          <t>LES TROIS BASES — calculees, jamais saisies</t>
        </is>
      </c>
      <c r="B28" s="4" t="n"/>
      <c r="C28" s="4" t="n"/>
      <c r="D28" s="4" t="n"/>
      <c r="E28" s="4" t="n"/>
      <c r="F28" s="4" t="n"/>
      <c r="G28" s="4" t="n"/>
    </row>
    <row r="29">
      <c r="A29" s="5" t="inlineStr">
        <is>
          <t>base</t>
        </is>
      </c>
      <c r="B29" s="5" t="inlineStr">
        <is>
          <t>ebitda</t>
        </is>
      </c>
      <c r="C29" s="5" t="inlineStr">
        <is>
          <t>ebit</t>
        </is>
      </c>
      <c r="D29" s="5" t="inlineStr">
        <is>
          <t>net</t>
        </is>
      </c>
      <c r="E29" s="5" t="inlineStr">
        <is>
          <t>moteur (net)</t>
        </is>
      </c>
    </row>
    <row r="30">
      <c r="A30" s="10" t="inlineStr">
        <is>
          <t>Omnium (publie + vrais one-offs)</t>
        </is>
      </c>
      <c r="B30" s="11">
        <f>pub_ebitda+SUMIF($E$21:$E$25,"oneOff",B$21:B$25)</f>
        <v/>
      </c>
      <c r="C30" s="11">
        <f>pub_ebit+SUMIF($E$21:$E$25,"oneOff",C$21:C$25)</f>
        <v/>
      </c>
      <c r="D30" s="11">
        <f>pub_net+SUMIF($E$21:$E$25,"oneOff",D$21:D$25)+impotRet*SUMIF($E$21:$E$25,"oneOff",$D$21:$D$25)/SUM($D$21:$D$25)</f>
        <v/>
      </c>
      <c r="E30" s="12" t="n">
        <v>135.73</v>
      </c>
    </row>
    <row r="31">
      <c r="A31" s="10" t="inlineStr">
        <is>
          <t>Ajuste du management (+ recurrents)</t>
        </is>
      </c>
      <c r="B31" s="11">
        <f>pub_ebitda+SUM(B$21:B$25)</f>
        <v/>
      </c>
      <c r="C31" s="11">
        <f>pub_ebit+SUM(C$21:C$25)</f>
        <v/>
      </c>
      <c r="D31" s="11">
        <f>pub_net+SUM(D$21:D$25)+impotRet</f>
        <v/>
      </c>
      <c r="E31" s="12" t="n">
        <v>178</v>
      </c>
    </row>
    <row r="32">
      <c r="A32" s="10" t="inlineStr">
        <is>
          <t>Coin = recurrents-deguises</t>
        </is>
      </c>
      <c r="B32" s="11">
        <f>SUMIF($E$21:$E$25,"recurrent",B$21:B$25)</f>
        <v/>
      </c>
      <c r="C32" s="11">
        <f>SUMIF($E$21:$E$25,"recurrent",C$21:C$25)</f>
        <v/>
      </c>
      <c r="D32" s="11">
        <f>SUMIF($E$21:$E$25,"recurrent",D$21:D$25)+impotRet*SUMIF($E$21:$E$25,"recurrent",$D$21:$D$25)/SUM($D$21:$D$25)</f>
        <v/>
      </c>
      <c r="E32" s="12" t="n">
        <v>60.27</v>
      </c>
    </row>
    <row r="33">
      <c r="A33" s="2" t="inlineStr">
        <is>
          <t>ajuste PUBLIE par la societe (cible de bouclage)</t>
        </is>
      </c>
      <c r="B33" s="11" t="n">
        <v>425</v>
      </c>
      <c r="C33" s="11" t="n">
        <v>300</v>
      </c>
      <c r="D33" s="11" t="n">
        <v>178</v>
      </c>
    </row>
    <row r="34">
      <c r="A34" s="2" t="inlineStr">
        <is>
          <t>BOUCLAGE</t>
        </is>
      </c>
      <c r="B34" s="2">
        <f>IF(ABS(B32-ajPub_ebitda)&lt;=MAX(1,ABS(ajPub_ebitda)*0.005),"OK","NE BOUCLE PAS")</f>
        <v/>
      </c>
      <c r="C34" s="2">
        <f>IF(ABS(C32-ajPub_ebit)&lt;=MAX(1,ABS(ajPub_ebit)*0.005),"OK","NE BOUCLE PAS")</f>
        <v/>
      </c>
      <c r="D34" s="2">
        <f>IF(ABS(D32-ajPub_net)&lt;=MAX(1,ABS(ajPub_net)*0.005),"OK","NE BOUCLE PAS")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3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1" t="inlineStr">
        <is>
          <t>MODELE — chaque cellule est une formule sur des variables nommees</t>
        </is>
      </c>
      <c r="B1" s="4" t="n"/>
      <c r="C1" s="4" t="n"/>
      <c r="D1" s="4" t="n"/>
      <c r="E1" s="4" t="n"/>
      <c r="F1" s="4" t="n"/>
      <c r="G1" s="4" t="n"/>
      <c r="H1" s="4" t="n"/>
    </row>
    <row r="2">
      <c r="A2" s="5" t="inlineStr">
        <is>
          <t>ligne</t>
        </is>
      </c>
      <c r="B2" s="5" t="n">
        <v>2025</v>
      </c>
      <c r="C2" s="15" t="n">
        <v>2026</v>
      </c>
      <c r="D2" s="15" t="n">
        <v>2027</v>
      </c>
      <c r="E2" s="15" t="n">
        <v>2028</v>
      </c>
      <c r="F2" s="15" t="n">
        <v>2029</v>
      </c>
      <c r="G2" s="15" t="n">
        <v>2030</v>
      </c>
      <c r="I2" s="12" t="n">
        <v>2026</v>
      </c>
      <c r="J2" s="12" t="n">
        <v>2027</v>
      </c>
      <c r="K2" s="12" t="n">
        <v>2028</v>
      </c>
      <c r="L2" s="12" t="n">
        <v>2029</v>
      </c>
      <c r="M2" s="12" t="n">
        <v>2030</v>
      </c>
    </row>
    <row r="3">
      <c r="A3" s="2" t="inlineStr">
        <is>
          <t>Chiffre d'affaires</t>
        </is>
      </c>
      <c r="B3" s="11" t="n">
        <v>2000</v>
      </c>
      <c r="C3" s="16">
        <f>B3*(1+g_2026)</f>
        <v/>
      </c>
      <c r="D3" s="16">
        <f>C3*(1+g_2027)</f>
        <v/>
      </c>
      <c r="E3" s="16">
        <f>D3*(1+g_2028)</f>
        <v/>
      </c>
      <c r="F3" s="16">
        <f>E3*(1+g_2029)</f>
        <v/>
      </c>
      <c r="G3" s="16">
        <f>F3*(1+g_2030)</f>
        <v/>
      </c>
      <c r="I3" s="17" t="n">
        <v>2060</v>
      </c>
      <c r="J3" s="17" t="n">
        <v>1936.4</v>
      </c>
      <c r="K3" s="17" t="n">
        <v>2013.856</v>
      </c>
      <c r="L3" s="17" t="n">
        <v>2104.4795</v>
      </c>
      <c r="M3" s="17" t="n">
        <v>2199.1811</v>
      </c>
    </row>
    <row r="4">
      <c r="A4" s="10" t="inlineStr">
        <is>
          <t>Croissance</t>
        </is>
      </c>
      <c r="C4" s="18">
        <f>g_2026</f>
        <v/>
      </c>
      <c r="D4" s="18">
        <f>g_2027</f>
        <v/>
      </c>
      <c r="E4" s="18">
        <f>g_2028</f>
        <v/>
      </c>
      <c r="F4" s="18">
        <f>g_2029</f>
        <v/>
      </c>
      <c r="G4" s="18">
        <f>g_2030</f>
        <v/>
      </c>
      <c r="I4" s="19" t="n">
        <v>0.03</v>
      </c>
      <c r="J4" s="19" t="n">
        <v>-0.06</v>
      </c>
      <c r="K4" s="19" t="n">
        <v>0.04</v>
      </c>
      <c r="L4" s="19" t="n">
        <v>0.045</v>
      </c>
      <c r="M4" s="19" t="n">
        <v>0.045</v>
      </c>
    </row>
    <row r="5">
      <c r="A5" s="10" t="inlineStr">
        <is>
          <t>Marge d'EBITDA</t>
        </is>
      </c>
      <c r="C5" s="18">
        <f>marge_2026</f>
        <v/>
      </c>
      <c r="D5" s="18">
        <f>marge_2027</f>
        <v/>
      </c>
      <c r="E5" s="18">
        <f>marge_2028</f>
        <v/>
      </c>
      <c r="F5" s="18">
        <f>marge_2029</f>
        <v/>
      </c>
      <c r="G5" s="18">
        <f>marge_2030</f>
        <v/>
      </c>
      <c r="I5" s="19" t="n">
        <v>0.192</v>
      </c>
      <c r="J5" s="19" t="n">
        <v>0.15</v>
      </c>
      <c r="K5" s="19" t="n">
        <v>0.178</v>
      </c>
      <c r="L5" s="19" t="n">
        <v>0.19</v>
      </c>
      <c r="M5" s="19" t="n">
        <v>0.195</v>
      </c>
    </row>
    <row r="6">
      <c r="A6" s="2" t="inlineStr">
        <is>
          <t>EBITDA</t>
        </is>
      </c>
      <c r="B6" s="11" t="n">
        <v>380</v>
      </c>
      <c r="C6" s="16">
        <f>C3*C5</f>
        <v/>
      </c>
      <c r="D6" s="16">
        <f>D3*D5</f>
        <v/>
      </c>
      <c r="E6" s="16">
        <f>E3*E5</f>
        <v/>
      </c>
      <c r="F6" s="16">
        <f>F3*F5</f>
        <v/>
      </c>
      <c r="G6" s="16">
        <f>G3*G5</f>
        <v/>
      </c>
      <c r="I6" s="17" t="n">
        <v>395.52</v>
      </c>
      <c r="J6" s="17" t="n">
        <v>290.46</v>
      </c>
      <c r="K6" s="17" t="n">
        <v>358.4664</v>
      </c>
      <c r="L6" s="17" t="n">
        <v>399.8511</v>
      </c>
      <c r="M6" s="17" t="n">
        <v>428.8403</v>
      </c>
    </row>
    <row r="7">
      <c r="A7" s="10" t="inlineStr">
        <is>
          <t xml:space="preserve">  dotations hors PPA</t>
        </is>
      </c>
      <c r="B7" s="11" t="n">
        <v>190</v>
      </c>
      <c r="C7" s="16">
        <f>B7+B3*capexRatio/dureeAmort</f>
        <v/>
      </c>
      <c r="D7" s="16">
        <f>C7+C3*capexRatio/dureeAmort</f>
        <v/>
      </c>
      <c r="E7" s="16">
        <f>D7+D3*capexRatio/dureeAmort</f>
        <v/>
      </c>
      <c r="F7" s="16">
        <f>E7+E3*capexRatio/dureeAmort</f>
        <v/>
      </c>
      <c r="G7" s="16">
        <f>F7+F3*capexRatio/dureeAmort</f>
        <v/>
      </c>
      <c r="I7" s="17" t="n">
        <v>202.2222</v>
      </c>
      <c r="J7" s="17" t="n">
        <v>214.8111</v>
      </c>
      <c r="K7" s="17" t="n">
        <v>226.6447</v>
      </c>
      <c r="L7" s="17" t="n">
        <v>238.9516</v>
      </c>
      <c r="M7" s="17" t="n">
        <v>251.8123</v>
      </c>
    </row>
    <row r="8">
      <c r="A8" s="10" t="inlineStr">
        <is>
          <t xml:space="preserve">  amortissement du PPA</t>
        </is>
      </c>
      <c r="B8" s="11" t="n">
        <v>0</v>
      </c>
      <c r="C8" s="16">
        <f>73.0</f>
        <v/>
      </c>
      <c r="D8" s="16">
        <f>65.0</f>
        <v/>
      </c>
      <c r="E8" s="16">
        <f>50.0</f>
        <v/>
      </c>
      <c r="F8" s="16">
        <f>32.0</f>
        <v/>
      </c>
      <c r="G8" s="16">
        <f>22.0</f>
        <v/>
      </c>
      <c r="I8" s="17" t="n">
        <v>73</v>
      </c>
      <c r="J8" s="17" t="n">
        <v>65</v>
      </c>
      <c r="K8" s="17" t="n">
        <v>50</v>
      </c>
      <c r="L8" s="17" t="n">
        <v>32</v>
      </c>
      <c r="M8" s="17" t="n">
        <v>22</v>
      </c>
    </row>
    <row r="9">
      <c r="A9" s="10" t="inlineStr">
        <is>
          <t>Dotations</t>
        </is>
      </c>
      <c r="B9" s="11" t="n">
        <v>-190</v>
      </c>
      <c r="C9" s="16">
        <f>-(C7+C8)</f>
        <v/>
      </c>
      <c r="D9" s="16">
        <f>-(D7+D8)</f>
        <v/>
      </c>
      <c r="E9" s="16">
        <f>-(E7+E8)</f>
        <v/>
      </c>
      <c r="F9" s="16">
        <f>-(F7+F8)</f>
        <v/>
      </c>
      <c r="G9" s="16">
        <f>-(G7+G8)</f>
        <v/>
      </c>
      <c r="I9" s="17" t="n">
        <v>-275.2222</v>
      </c>
      <c r="J9" s="17" t="n">
        <v>-279.8111</v>
      </c>
      <c r="K9" s="17" t="n">
        <v>-276.6447</v>
      </c>
      <c r="L9" s="17" t="n">
        <v>-270.9516</v>
      </c>
      <c r="M9" s="17" t="n">
        <v>-273.8123</v>
      </c>
    </row>
    <row r="10">
      <c r="A10" s="2" t="inlineStr">
        <is>
          <t>EBIT</t>
        </is>
      </c>
      <c r="B10" s="11" t="n">
        <v>190</v>
      </c>
      <c r="C10" s="16">
        <f>C6+C9</f>
        <v/>
      </c>
      <c r="D10" s="16">
        <f>D6+D9</f>
        <v/>
      </c>
      <c r="E10" s="16">
        <f>E6+E9</f>
        <v/>
      </c>
      <c r="F10" s="16">
        <f>F6+F9</f>
        <v/>
      </c>
      <c r="G10" s="16">
        <f>G6+G9</f>
        <v/>
      </c>
      <c r="I10" s="17" t="n">
        <v>120.2978</v>
      </c>
      <c r="J10" s="17" t="n">
        <v>10.6489</v>
      </c>
      <c r="K10" s="17" t="n">
        <v>81.82170000000001</v>
      </c>
      <c r="L10" s="17" t="n">
        <v>128.8995</v>
      </c>
      <c r="M10" s="17" t="n">
        <v>155.028</v>
      </c>
    </row>
    <row r="11">
      <c r="A11" s="10" t="inlineStr">
        <is>
          <t>Dette brute</t>
        </is>
      </c>
      <c r="B11" s="11" t="n">
        <v>1150</v>
      </c>
      <c r="C11" s="16">
        <f>B11</f>
        <v/>
      </c>
      <c r="D11" s="16">
        <f>C11</f>
        <v/>
      </c>
      <c r="E11" s="16">
        <f>D11</f>
        <v/>
      </c>
      <c r="F11" s="16">
        <f>E11</f>
        <v/>
      </c>
      <c r="G11" s="16">
        <f>F11</f>
        <v/>
      </c>
    </row>
    <row r="12">
      <c r="A12" s="10" t="inlineStr">
        <is>
          <t>Tresorerie</t>
        </is>
      </c>
      <c r="B12" s="11" t="n">
        <v>180</v>
      </c>
      <c r="C12" s="16">
        <f>B12+C19-C22-B3*capexRatio-C9</f>
        <v/>
      </c>
      <c r="D12" s="16">
        <f>C12+D19-D22-C3*capexRatio-D9</f>
        <v/>
      </c>
      <c r="E12" s="16">
        <f>D12+E19-E22-D3*capexRatio-E9</f>
        <v/>
      </c>
      <c r="F12" s="16">
        <f>E12+F19-F22-E3*capexRatio-F9</f>
        <v/>
      </c>
      <c r="G12" s="16">
        <f>F12+G19-G22-F3*capexRatio-G9</f>
        <v/>
      </c>
    </row>
    <row r="13">
      <c r="A13" s="10" t="inlineStr">
        <is>
          <t>Dette locative</t>
        </is>
      </c>
      <c r="B13" s="11" t="n">
        <v>240</v>
      </c>
      <c r="C13" s="16">
        <f>B13</f>
        <v/>
      </c>
      <c r="D13" s="16">
        <f>C13</f>
        <v/>
      </c>
      <c r="E13" s="16">
        <f>D13</f>
        <v/>
      </c>
      <c r="F13" s="16">
        <f>E13</f>
        <v/>
      </c>
      <c r="G13" s="16">
        <f>F13</f>
        <v/>
      </c>
    </row>
    <row r="14">
      <c r="A14" s="10" t="inlineStr">
        <is>
          <t>Resultat financier (rang 2)</t>
        </is>
      </c>
      <c r="B14" s="11" t="n">
        <v>-48</v>
      </c>
      <c r="C14" s="16">
        <f>-(B11*tauxDette)+B12*tauxCash-(B13*tauxLease)</f>
        <v/>
      </c>
      <c r="D14" s="16">
        <f>-(C11*tauxDette)+C12*tauxCash-(C13*tauxLease)</f>
        <v/>
      </c>
      <c r="E14" s="16">
        <f>-(D11*tauxDette)+D12*tauxCash-(D13*tauxLease)</f>
        <v/>
      </c>
      <c r="F14" s="16">
        <f>-(E11*tauxDette)+E12*tauxCash-(E13*tauxLease)</f>
        <v/>
      </c>
      <c r="G14" s="16">
        <f>-(F11*tauxDette)+F12*tauxCash-(F13*tauxLease)</f>
        <v/>
      </c>
      <c r="I14" s="17" t="n">
        <v>-61.08</v>
      </c>
      <c r="J14" s="17" t="n">
        <v>-57.6829</v>
      </c>
      <c r="K14" s="17" t="n">
        <v>-55.2048</v>
      </c>
      <c r="L14" s="17" t="n">
        <v>-51.9559</v>
      </c>
      <c r="M14" s="17" t="n">
        <v>-48.5341</v>
      </c>
    </row>
    <row r="15">
      <c r="A15" s="10" t="inlineStr">
        <is>
          <t>Resultat avant impot</t>
        </is>
      </c>
      <c r="B15" s="11" t="n">
        <v>142</v>
      </c>
      <c r="C15" s="16">
        <f>C10+C14</f>
        <v/>
      </c>
      <c r="D15" s="16">
        <f>D10+D14</f>
        <v/>
      </c>
      <c r="E15" s="16">
        <f>E10+E14</f>
        <v/>
      </c>
      <c r="F15" s="16">
        <f>F10+F14</f>
        <v/>
      </c>
      <c r="G15" s="16">
        <f>G10+G14</f>
        <v/>
      </c>
      <c r="I15" s="17" t="n">
        <v>59.2178</v>
      </c>
      <c r="J15" s="17" t="n">
        <v>-47.034</v>
      </c>
      <c r="K15" s="17" t="n">
        <v>26.6169</v>
      </c>
      <c r="L15" s="17" t="n">
        <v>76.9436</v>
      </c>
      <c r="M15" s="17" t="n">
        <v>106.494</v>
      </c>
    </row>
    <row r="16">
      <c r="A16" s="10" t="inlineStr">
        <is>
          <t>Taux d'impot applique</t>
        </is>
      </c>
      <c r="C16" s="18">
        <f>tauxIS_2026</f>
        <v/>
      </c>
      <c r="D16" s="18">
        <f>tauxIS_2027</f>
        <v/>
      </c>
      <c r="E16" s="18">
        <f>tauxIS_2028</f>
        <v/>
      </c>
      <c r="F16" s="18">
        <f>tauxIS_2029</f>
        <v/>
      </c>
      <c r="G16" s="18">
        <f>tauxIS_2030</f>
        <v/>
      </c>
      <c r="I16" s="19" t="n">
        <v>0.27</v>
      </c>
      <c r="J16" s="19" t="n">
        <v>0.285</v>
      </c>
      <c r="K16" s="19" t="n">
        <v>0.285</v>
      </c>
      <c r="L16" s="19" t="n">
        <v>0.285</v>
      </c>
      <c r="M16" s="19" t="n">
        <v>0.285</v>
      </c>
    </row>
    <row r="17">
      <c r="A17" s="10" t="inlineStr">
        <is>
          <t>Impot</t>
        </is>
      </c>
      <c r="B17" s="11" t="n">
        <v>-40</v>
      </c>
      <c r="C17" s="16">
        <f>-C15*C16</f>
        <v/>
      </c>
      <c r="D17" s="20" t="n">
        <v>-6</v>
      </c>
      <c r="E17" s="16">
        <f>-E15*E16</f>
        <v/>
      </c>
      <c r="F17" s="16">
        <f>-F15*F16</f>
        <v/>
      </c>
      <c r="G17" s="16">
        <f>-G15*G16</f>
        <v/>
      </c>
      <c r="I17" s="17" t="n">
        <v>-15.9888</v>
      </c>
      <c r="J17" s="17" t="n">
        <v>-6</v>
      </c>
      <c r="K17" s="17" t="n">
        <v>-7.5858</v>
      </c>
      <c r="L17" s="17" t="n">
        <v>-21.9289</v>
      </c>
      <c r="M17" s="17" t="n">
        <v>-30.3508</v>
      </c>
    </row>
    <row r="18">
      <c r="A18" s="10" t="inlineStr">
        <is>
          <t>Minoritaires</t>
        </is>
      </c>
      <c r="B18" s="11" t="n">
        <v>-22</v>
      </c>
      <c r="C18" s="16">
        <f>partMinos*(C15+C17)</f>
        <v/>
      </c>
      <c r="D18" s="16">
        <f>partMinos*(D15+D17)</f>
        <v/>
      </c>
      <c r="E18" s="16">
        <f>partMinos*(E15+E17)</f>
        <v/>
      </c>
      <c r="F18" s="16">
        <f>partMinos*(F15+F17)</f>
        <v/>
      </c>
      <c r="G18" s="16">
        <f>partMinos*(G15+G17)</f>
        <v/>
      </c>
      <c r="I18" s="17" t="n">
        <v>-11.888</v>
      </c>
      <c r="J18" s="17" t="n">
        <v>14.5844</v>
      </c>
      <c r="K18" s="17" t="n">
        <v>-5.2336</v>
      </c>
      <c r="L18" s="17" t="n">
        <v>-15.129</v>
      </c>
      <c r="M18" s="17" t="n">
        <v>-20.9394</v>
      </c>
    </row>
    <row r="19">
      <c r="A19" s="2" t="inlineStr">
        <is>
          <t>Resultat net</t>
        </is>
      </c>
      <c r="B19" s="11" t="n">
        <v>80</v>
      </c>
      <c r="C19" s="16">
        <f>C15+C17+C18</f>
        <v/>
      </c>
      <c r="D19" s="16">
        <f>D15+D17+D18</f>
        <v/>
      </c>
      <c r="E19" s="16">
        <f>E15+E17+E18</f>
        <v/>
      </c>
      <c r="F19" s="16">
        <f>F15+F17+F18</f>
        <v/>
      </c>
      <c r="G19" s="16">
        <f>G15+G17+G18</f>
        <v/>
      </c>
      <c r="I19" s="17" t="n">
        <v>31.341</v>
      </c>
      <c r="J19" s="17" t="n">
        <v>-38.4497</v>
      </c>
      <c r="K19" s="17" t="n">
        <v>13.7976</v>
      </c>
      <c r="L19" s="17" t="n">
        <v>39.8856</v>
      </c>
      <c r="M19" s="17" t="n">
        <v>55.2038</v>
      </c>
    </row>
    <row r="20">
      <c r="A20" s="10" t="inlineStr">
        <is>
          <t>Actions (millions)</t>
        </is>
      </c>
      <c r="B20" s="21" t="n">
        <v>64</v>
      </c>
      <c r="C20" s="22">
        <f>B20*(1-rachatPct)</f>
        <v/>
      </c>
      <c r="D20" s="22">
        <f>C20*(1-rachatPct)</f>
        <v/>
      </c>
      <c r="E20" s="22">
        <f>D20*(1-rachatPct)</f>
        <v/>
      </c>
      <c r="F20" s="22">
        <f>E20*(1-rachatPct)</f>
        <v/>
      </c>
      <c r="G20" s="22">
        <f>F20*(1-rachatPct)</f>
        <v/>
      </c>
      <c r="I20" s="23" t="n">
        <v>63.488</v>
      </c>
      <c r="J20" s="23" t="n">
        <v>62.9801</v>
      </c>
      <c r="K20" s="23" t="n">
        <v>62.4763</v>
      </c>
      <c r="L20" s="23" t="n">
        <v>61.9764</v>
      </c>
      <c r="M20" s="23" t="n">
        <v>61.4806</v>
      </c>
    </row>
    <row r="21">
      <c r="A21" s="2" t="inlineStr">
        <is>
          <t>BPA</t>
        </is>
      </c>
      <c r="B21" s="21" t="n">
        <v>1.25</v>
      </c>
      <c r="C21" s="22">
        <f>C19/C20</f>
        <v/>
      </c>
      <c r="D21" s="22">
        <f>D19/D20</f>
        <v/>
      </c>
      <c r="E21" s="22">
        <f>E19/E20</f>
        <v/>
      </c>
      <c r="F21" s="22">
        <f>F19/F20</f>
        <v/>
      </c>
      <c r="G21" s="22">
        <f>G19/G20</f>
        <v/>
      </c>
      <c r="I21" s="23" t="n">
        <v>0.4937</v>
      </c>
      <c r="J21" s="23" t="n">
        <v>-0.6105</v>
      </c>
      <c r="K21" s="23" t="n">
        <v>0.2208</v>
      </c>
      <c r="L21" s="23" t="n">
        <v>0.6435999999999999</v>
      </c>
      <c r="M21" s="23" t="n">
        <v>0.8979</v>
      </c>
    </row>
    <row r="22">
      <c r="A22" s="10" t="inlineStr">
        <is>
          <t>Dividende verse</t>
        </is>
      </c>
      <c r="C22" s="16">
        <f>C19*tauxDistrib</f>
        <v/>
      </c>
      <c r="D22" s="16">
        <f>D19*tauxDistrib</f>
        <v/>
      </c>
      <c r="E22" s="16">
        <f>E19*tauxDistrib</f>
        <v/>
      </c>
      <c r="F22" s="16">
        <f>F19*tauxDistrib</f>
        <v/>
      </c>
      <c r="G22" s="16">
        <f>G19*tauxDistrib</f>
        <v/>
      </c>
      <c r="I22" s="17" t="n">
        <v>7.8353</v>
      </c>
      <c r="J22" s="17" t="n">
        <v>-9.612399999999999</v>
      </c>
      <c r="K22" s="17" t="n">
        <v>3.4494</v>
      </c>
      <c r="L22" s="17" t="n">
        <v>9.971399999999999</v>
      </c>
      <c r="M22" s="17" t="n">
        <v>13.801</v>
      </c>
    </row>
    <row r="24">
      <c r="A24" s="2" t="inlineStr">
        <is>
          <t>RANG DU MOTEUR — d'ou vient chaque hypothese</t>
        </is>
      </c>
    </row>
    <row r="25">
      <c r="A25" s="12" t="inlineStr">
        <is>
          <t xml:space="preserve">  croissance</t>
        </is>
      </c>
      <c r="C25" s="24" t="inlineStr">
        <is>
          <t>guidance</t>
        </is>
      </c>
      <c r="D25" s="12" t="inlineStr">
        <is>
          <t>implicite</t>
        </is>
      </c>
      <c r="E25" s="12" t="inlineStr">
        <is>
          <t>normatif</t>
        </is>
      </c>
      <c r="F25" s="12" t="inlineStr">
        <is>
          <t>normatif</t>
        </is>
      </c>
      <c r="G25" s="12" t="inlineStr">
        <is>
          <t>normatif</t>
        </is>
      </c>
    </row>
    <row r="26">
      <c r="A26" s="12" t="inlineStr">
        <is>
          <t xml:space="preserve">  marge</t>
        </is>
      </c>
      <c r="C26" s="24" t="inlineStr">
        <is>
          <t>guidance</t>
        </is>
      </c>
      <c r="D26" s="12" t="inlineStr">
        <is>
          <t>implicite</t>
        </is>
      </c>
      <c r="E26" s="12" t="inlineStr">
        <is>
          <t>implicite</t>
        </is>
      </c>
      <c r="F26" s="12" t="inlineStr">
        <is>
          <t>normatif</t>
        </is>
      </c>
      <c r="G26" s="12" t="inlineStr">
        <is>
          <t>normatif</t>
        </is>
      </c>
    </row>
    <row r="27">
      <c r="A27" s="12" t="inlineStr">
        <is>
          <t xml:space="preserve">  taux d'impot</t>
        </is>
      </c>
      <c r="C27" s="24" t="inlineStr">
        <is>
          <t>guidance</t>
        </is>
      </c>
      <c r="D27" s="12" t="inlineStr">
        <is>
          <t>override</t>
        </is>
      </c>
      <c r="E27" s="12" t="inlineStr">
        <is>
          <t>normatif</t>
        </is>
      </c>
      <c r="F27" s="12" t="inlineStr">
        <is>
          <t>normatif</t>
        </is>
      </c>
      <c r="G27" s="12" t="inlineStr">
        <is>
          <t>normatif</t>
        </is>
      </c>
    </row>
    <row r="28">
      <c r="A28" s="12" t="inlineStr">
        <is>
          <t xml:space="preserve">  resultat financier</t>
        </is>
      </c>
      <c r="C28" s="12" t="inlineStr">
        <is>
          <t>2</t>
        </is>
      </c>
      <c r="D28" s="12" t="inlineStr">
        <is>
          <t>2</t>
        </is>
      </c>
      <c r="E28" s="12" t="inlineStr">
        <is>
          <t>2</t>
        </is>
      </c>
      <c r="F28" s="12" t="inlineStr">
        <is>
          <t>2</t>
        </is>
      </c>
      <c r="G28" s="12" t="inlineStr">
        <is>
          <t>2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CONTROLES — la feuille est son propre test de non-regression</t>
        </is>
      </c>
      <c r="B1" s="4" t="n"/>
      <c r="C1" s="4" t="n"/>
      <c r="D1" s="4" t="n"/>
      <c r="E1" s="4" t="n"/>
      <c r="F1" s="4" t="n"/>
    </row>
    <row r="2">
      <c r="A2" s="2" t="inlineStr">
        <is>
          <t>formule vs moteur</t>
        </is>
      </c>
      <c r="B2" s="5" t="n">
        <v>2026</v>
      </c>
      <c r="C2" s="5" t="n">
        <v>2027</v>
      </c>
      <c r="D2" s="5" t="n">
        <v>2028</v>
      </c>
      <c r="E2" s="5" t="n">
        <v>2029</v>
      </c>
      <c r="F2" s="5" t="n">
        <v>2030</v>
      </c>
    </row>
    <row r="3">
      <c r="A3" s="10" t="inlineStr">
        <is>
          <t>Chiffre d'affaires</t>
        </is>
      </c>
      <c r="B3" s="14">
        <f>IF(ABS(Modele!C3-Modele!I3)&lt;0.01,"OK","ECART "&amp;TEXT(Modele!C3-Modele!I3,"0.00"))</f>
        <v/>
      </c>
      <c r="C3" s="14">
        <f>IF(ABS(Modele!D3-Modele!J3)&lt;0.01,"OK","ECART "&amp;TEXT(Modele!D3-Modele!J3,"0.00"))</f>
        <v/>
      </c>
      <c r="D3" s="14">
        <f>IF(ABS(Modele!E3-Modele!K3)&lt;0.01,"OK","ECART "&amp;TEXT(Modele!E3-Modele!K3,"0.00"))</f>
        <v/>
      </c>
      <c r="E3" s="14">
        <f>IF(ABS(Modele!F3-Modele!L3)&lt;0.01,"OK","ECART "&amp;TEXT(Modele!F3-Modele!L3,"0.00"))</f>
        <v/>
      </c>
      <c r="F3" s="14">
        <f>IF(ABS(Modele!G3-Modele!M3)&lt;0.01,"OK","ECART "&amp;TEXT(Modele!G3-Modele!M3,"0.00"))</f>
        <v/>
      </c>
    </row>
    <row r="4">
      <c r="A4" s="10" t="inlineStr">
        <is>
          <t>EBITDA</t>
        </is>
      </c>
      <c r="B4" s="14">
        <f>IF(ABS(Modele!C6-Modele!I6)&lt;0.01,"OK","ECART "&amp;TEXT(Modele!C6-Modele!I6,"0.00"))</f>
        <v/>
      </c>
      <c r="C4" s="14">
        <f>IF(ABS(Modele!D6-Modele!J6)&lt;0.01,"OK","ECART "&amp;TEXT(Modele!D6-Modele!J6,"0.00"))</f>
        <v/>
      </c>
      <c r="D4" s="14">
        <f>IF(ABS(Modele!E6-Modele!K6)&lt;0.01,"OK","ECART "&amp;TEXT(Modele!E6-Modele!K6,"0.00"))</f>
        <v/>
      </c>
      <c r="E4" s="14">
        <f>IF(ABS(Modele!F6-Modele!L6)&lt;0.01,"OK","ECART "&amp;TEXT(Modele!F6-Modele!L6,"0.00"))</f>
        <v/>
      </c>
      <c r="F4" s="14">
        <f>IF(ABS(Modele!G6-Modele!M6)&lt;0.01,"OK","ECART "&amp;TEXT(Modele!G6-Modele!M6,"0.00"))</f>
        <v/>
      </c>
    </row>
    <row r="5">
      <c r="A5" s="10" t="inlineStr">
        <is>
          <t>EBIT</t>
        </is>
      </c>
      <c r="B5" s="14">
        <f>IF(ABS(Modele!C10-Modele!I10)&lt;0.01,"OK","ECART "&amp;TEXT(Modele!C10-Modele!I10,"0.00"))</f>
        <v/>
      </c>
      <c r="C5" s="14">
        <f>IF(ABS(Modele!D10-Modele!J10)&lt;0.01,"OK","ECART "&amp;TEXT(Modele!D10-Modele!J10,"0.00"))</f>
        <v/>
      </c>
      <c r="D5" s="14">
        <f>IF(ABS(Modele!E10-Modele!K10)&lt;0.01,"OK","ECART "&amp;TEXT(Modele!E10-Modele!K10,"0.00"))</f>
        <v/>
      </c>
      <c r="E5" s="14">
        <f>IF(ABS(Modele!F10-Modele!L10)&lt;0.01,"OK","ECART "&amp;TEXT(Modele!F10-Modele!L10,"0.00"))</f>
        <v/>
      </c>
      <c r="F5" s="14">
        <f>IF(ABS(Modele!G10-Modele!M10)&lt;0.01,"OK","ECART "&amp;TEXT(Modele!G10-Modele!M10,"0.00"))</f>
        <v/>
      </c>
    </row>
    <row r="6">
      <c r="A6" s="10" t="inlineStr">
        <is>
          <t>Resultat avant impot</t>
        </is>
      </c>
      <c r="B6" s="14">
        <f>IF(ABS(Modele!C15-Modele!I15)&lt;0.01,"OK","ECART "&amp;TEXT(Modele!C15-Modele!I15,"0.00"))</f>
        <v/>
      </c>
      <c r="C6" s="14">
        <f>IF(ABS(Modele!D15-Modele!J15)&lt;0.01,"OK","ECART "&amp;TEXT(Modele!D15-Modele!J15,"0.00"))</f>
        <v/>
      </c>
      <c r="D6" s="14">
        <f>IF(ABS(Modele!E15-Modele!K15)&lt;0.01,"OK","ECART "&amp;TEXT(Modele!E15-Modele!K15,"0.00"))</f>
        <v/>
      </c>
      <c r="E6" s="14">
        <f>IF(ABS(Modele!F15-Modele!L15)&lt;0.01,"OK","ECART "&amp;TEXT(Modele!F15-Modele!L15,"0.00"))</f>
        <v/>
      </c>
      <c r="F6" s="14">
        <f>IF(ABS(Modele!G15-Modele!M15)&lt;0.01,"OK","ECART "&amp;TEXT(Modele!G15-Modele!M15,"0.00"))</f>
        <v/>
      </c>
    </row>
    <row r="7">
      <c r="A7" s="10" t="inlineStr">
        <is>
          <t>Impot</t>
        </is>
      </c>
      <c r="B7" s="14">
        <f>IF(ABS(Modele!C17-Modele!I17)&lt;0.01,"OK","ECART "&amp;TEXT(Modele!C17-Modele!I17,"0.00"))</f>
        <v/>
      </c>
      <c r="C7" s="14">
        <f>IF(ABS(Modele!D17-Modele!J17)&lt;0.01,"OK","ECART "&amp;TEXT(Modele!D17-Modele!J17,"0.00"))</f>
        <v/>
      </c>
      <c r="D7" s="14">
        <f>IF(ABS(Modele!E17-Modele!K17)&lt;0.01,"OK","ECART "&amp;TEXT(Modele!E17-Modele!K17,"0.00"))</f>
        <v/>
      </c>
      <c r="E7" s="14">
        <f>IF(ABS(Modele!F17-Modele!L17)&lt;0.01,"OK","ECART "&amp;TEXT(Modele!F17-Modele!L17,"0.00"))</f>
        <v/>
      </c>
      <c r="F7" s="14">
        <f>IF(ABS(Modele!G17-Modele!M17)&lt;0.01,"OK","ECART "&amp;TEXT(Modele!G17-Modele!M17,"0.00"))</f>
        <v/>
      </c>
    </row>
    <row r="8">
      <c r="A8" s="10" t="inlineStr">
        <is>
          <t>Resultat net</t>
        </is>
      </c>
      <c r="B8" s="14">
        <f>IF(ABS(Modele!C19-Modele!I19)&lt;0.01,"OK","ECART "&amp;TEXT(Modele!C19-Modele!I19,"0.00"))</f>
        <v/>
      </c>
      <c r="C8" s="14">
        <f>IF(ABS(Modele!D19-Modele!J19)&lt;0.01,"OK","ECART "&amp;TEXT(Modele!D19-Modele!J19,"0.00"))</f>
        <v/>
      </c>
      <c r="D8" s="14">
        <f>IF(ABS(Modele!E19-Modele!K19)&lt;0.01,"OK","ECART "&amp;TEXT(Modele!E19-Modele!K19,"0.00"))</f>
        <v/>
      </c>
      <c r="E8" s="14">
        <f>IF(ABS(Modele!F19-Modele!L19)&lt;0.01,"OK","ECART "&amp;TEXT(Modele!F19-Modele!L19,"0.00"))</f>
        <v/>
      </c>
      <c r="F8" s="14">
        <f>IF(ABS(Modele!G19-Modele!M19)&lt;0.01,"OK","ECART "&amp;TEXT(Modele!G19-Modele!M19,"0.00"))</f>
        <v/>
      </c>
    </row>
    <row r="9">
      <c r="A9" s="10" t="inlineStr">
        <is>
          <t>BPA</t>
        </is>
      </c>
      <c r="B9" s="14">
        <f>IF(ABS(Modele!C21-Modele!I21)&lt;0.01,"OK","ECART "&amp;TEXT(Modele!C21-Modele!I21,"0.00"))</f>
        <v/>
      </c>
      <c r="C9" s="14">
        <f>IF(ABS(Modele!D21-Modele!J21)&lt;0.01,"OK","ECART "&amp;TEXT(Modele!D21-Modele!J21,"0.00"))</f>
        <v/>
      </c>
      <c r="D9" s="14">
        <f>IF(ABS(Modele!E21-Modele!K21)&lt;0.01,"OK","ECART "&amp;TEXT(Modele!E21-Modele!K21,"0.00"))</f>
        <v/>
      </c>
      <c r="E9" s="14">
        <f>IF(ABS(Modele!F21-Modele!L21)&lt;0.01,"OK","ECART "&amp;TEXT(Modele!F21-Modele!L21,"0.00"))</f>
        <v/>
      </c>
      <c r="F9" s="14">
        <f>IF(ABS(Modele!G21-Modele!M21)&lt;0.01,"OK","ECART "&amp;TEXT(Modele!G21-Modele!M21,"0.00"))</f>
        <v/>
      </c>
    </row>
    <row r="11">
      <c r="A11" s="2" t="inlineStr">
        <is>
          <t>GARDE-FOUS</t>
        </is>
      </c>
    </row>
    <row r="12">
      <c r="A12" s="10" t="inlineStr">
        <is>
          <t>Aucune cellule orpheline (regle 5)</t>
        </is>
      </c>
      <c r="B12" s="14">
        <f>IF(COUNTBLANK(Hypotheses!$C$3:$C$27)=0,"OK","MOTEUR MANQUANT")</f>
        <v/>
      </c>
    </row>
    <row r="13">
      <c r="A13" s="10" t="inlineStr">
        <is>
          <t>Devise de reporting = devise de cotation (prop. 6)</t>
        </is>
      </c>
      <c r="B13" s="14">
        <f>IF(EXACT('Lisez-moi'!B10,'Lisez-moi'!B11),"OK","P/E INTERDIT SANS TAUX DATE")</f>
        <v/>
      </c>
    </row>
    <row r="15">
      <c r="A15" s="12" t="inlineStr">
        <is>
          <t>Colonne 'moteur' de la feuille Modele = valeur produite par engine/model.py. Toute divergence est une erreur de traduction, pas une tolerance.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Omnium engine v1.0.0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Omnium engine v1.0.0</cp:lastModifiedBy>
</cp:coreProperties>
</file>