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Formules" sheetId="4" state="visible" r:id="rId4"/>
    <sheet xmlns:r="http://schemas.openxmlformats.org/officeDocument/2006/relationships" name="Modele" sheetId="5" state="visible" r:id="rId5"/>
    <sheet xmlns:r="http://schemas.openxmlformats.org/officeDocument/2006/relationships" name="Controles" sheetId="6" state="visible" r:id="rId6"/>
  </sheets>
  <definedNames>
    <definedName name="g_2026">'Hypotheses'!$C$3</definedName>
    <definedName name="g_2027">'Hypotheses'!$C$4</definedName>
    <definedName name="g_2028">'Hypotheses'!$C$5</definedName>
    <definedName name="marge_2026">'Hypotheses'!$C$6</definedName>
    <definedName name="marge_2027">'Hypotheses'!$C$7</definedName>
    <definedName name="marge_2028">'Hypotheses'!$C$8</definedName>
    <definedName name="tauxIS_2026">'Hypotheses'!$C$9</definedName>
    <definedName name="tauxIS_2027">'Hypotheses'!$C$10</definedName>
    <definedName name="tauxIS_2028">'Hypotheses'!$C$11</definedName>
    <definedName name="capexRatio">'Hypotheses'!$C$12</definedName>
    <definedName name="dureeAmort">'Hypotheses'!$C$13</definedName>
    <definedName name="spreadNormatif">'Hypotheses'!$C$14</definedName>
    <definedName name="rachatPct">'Hypotheses'!$C$15</definedName>
    <definedName name="tauxDistrib">'Hypotheses'!$C$16</definedName>
    <definedName name="gTerminal">'Hypotheses'!$C$17</definedName>
    <definedName name="margeTerminale">'Hypotheses'!$C$18</definedName>
    <definedName name="partMinos">'Hypotheses'!$C$19</definedName>
    <definedName name="pub_ca">'Historique'!$F$3</definedName>
    <definedName name="pub_margeBrute">'Historique'!$F$4</definedName>
    <definedName name="pub_ebitda">'Historique'!$F$5</definedName>
    <definedName name="pub_da">'Historique'!$F$6</definedName>
    <definedName name="pub_ebit">'Historique'!$F$7</definedName>
    <definedName name="pub_finNet">'Historique'!$F$8</definedName>
    <definedName name="pub_avantImpot">'Historique'!$F$9</definedName>
    <definedName name="pub_impot">'Historique'!$F$10</definedName>
    <definedName name="pub_minoritaires">'Historique'!$F$11</definedName>
    <definedName name="pub_net">'Historique'!$F$12</definedName>
    <definedName name="impotRet">'Historique'!$D$23</definedName>
    <definedName name="CA_2025">'Modele'!$B$3</definedName>
    <definedName name="CA_2026">'Modele'!$C$3</definedName>
    <definedName name="CA_2027">'Modele'!$D$3</definedName>
    <definedName name="CA_2028">'Modele'!$E$3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cash_2025">'Modele'!$B$12</definedName>
    <definedName name="cash_2026">'Modele'!$C$12</definedName>
    <definedName name="cash_2027">'Modele'!$D$12</definedName>
    <definedName name="cash_2028">'Modele'!$E$12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Simple SA — moteur v1.0.0 — empreinte 2fab8e58238e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60.0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0.05</v>
      </c>
      <c r="D3" s="7" t="inlineStr">
        <is>
          <t>normatif</t>
        </is>
      </c>
      <c r="E3" s="7" t="inlineStr">
        <is>
          <t>—</t>
        </is>
      </c>
      <c r="F3" s="9" t="inlineStr">
        <is>
          <t>Croissance de marche, aucune guidance publiee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0.05</v>
      </c>
      <c r="D4" s="7" t="inlineStr">
        <is>
          <t>normatif</t>
        </is>
      </c>
      <c r="E4" s="7" t="inlineStr">
        <is>
          <t>—</t>
        </is>
      </c>
      <c r="F4" s="9" t="inlineStr">
        <is>
          <t>Croissance de marche, aucune guidance publiee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0.05</v>
      </c>
      <c r="D5" s="7" t="inlineStr">
        <is>
          <t>normatif</t>
        </is>
      </c>
      <c r="E5" s="7" t="inlineStr">
        <is>
          <t>—</t>
        </is>
      </c>
      <c r="F5" s="9" t="inlineStr">
        <is>
          <t>Croissance de marche, aucune guidance publiee</t>
        </is>
      </c>
    </row>
    <row r="6">
      <c r="A6" s="6" t="inlineStr">
        <is>
          <t>Marge d'EBITDA 2026</t>
        </is>
      </c>
      <c r="B6" s="7" t="inlineStr">
        <is>
          <t>marge_2026</t>
        </is>
      </c>
      <c r="C6" s="8" t="n">
        <v>0.2</v>
      </c>
      <c r="D6" s="7" t="inlineStr">
        <is>
          <t>normatif</t>
        </is>
      </c>
      <c r="E6" s="7" t="inlineStr">
        <is>
          <t>—</t>
        </is>
      </c>
      <c r="F6" s="9" t="inlineStr">
        <is>
          <t>Marge stable au niveau observe</t>
        </is>
      </c>
    </row>
    <row r="7">
      <c r="A7" s="6" t="inlineStr">
        <is>
          <t>Marge d'EBITDA 2027</t>
        </is>
      </c>
      <c r="B7" s="7" t="inlineStr">
        <is>
          <t>marge_2027</t>
        </is>
      </c>
      <c r="C7" s="8" t="n">
        <v>0.2</v>
      </c>
      <c r="D7" s="7" t="inlineStr">
        <is>
          <t>normatif</t>
        </is>
      </c>
      <c r="E7" s="7" t="inlineStr">
        <is>
          <t>—</t>
        </is>
      </c>
      <c r="F7" s="9" t="inlineStr">
        <is>
          <t>Marge stable au niveau observe</t>
        </is>
      </c>
    </row>
    <row r="8">
      <c r="A8" s="6" t="inlineStr">
        <is>
          <t>Marge d'EBITDA 2028</t>
        </is>
      </c>
      <c r="B8" s="7" t="inlineStr">
        <is>
          <t>marge_2028</t>
        </is>
      </c>
      <c r="C8" s="8" t="n">
        <v>0.2</v>
      </c>
      <c r="D8" s="7" t="inlineStr">
        <is>
          <t>normatif</t>
        </is>
      </c>
      <c r="E8" s="7" t="inlineStr">
        <is>
          <t>—</t>
        </is>
      </c>
      <c r="F8" s="9" t="inlineStr">
        <is>
          <t>Marge stable au niveau observe</t>
        </is>
      </c>
    </row>
    <row r="9">
      <c r="A9" s="6" t="inlineStr">
        <is>
          <t>Taux d'impot 2026</t>
        </is>
      </c>
      <c r="B9" s="7" t="inlineStr">
        <is>
          <t>tauxIS_2026</t>
        </is>
      </c>
      <c r="C9" s="8" t="n">
        <v>0.25</v>
      </c>
      <c r="D9" s="7" t="inlineStr">
        <is>
          <t>normatif</t>
        </is>
      </c>
      <c r="E9" s="7" t="inlineStr">
        <is>
          <t>—</t>
        </is>
      </c>
      <c r="F9" s="9" t="inlineStr">
        <is>
          <t>Taux effectif observe, stable</t>
        </is>
      </c>
    </row>
    <row r="10">
      <c r="A10" s="6" t="inlineStr">
        <is>
          <t>Taux d'impot 2027</t>
        </is>
      </c>
      <c r="B10" s="7" t="inlineStr">
        <is>
          <t>tauxIS_2027</t>
        </is>
      </c>
      <c r="C10" s="8" t="n">
        <v>0.25</v>
      </c>
      <c r="D10" s="7" t="inlineStr">
        <is>
          <t>normatif</t>
        </is>
      </c>
      <c r="E10" s="7" t="inlineStr">
        <is>
          <t>—</t>
        </is>
      </c>
      <c r="F10" s="9" t="inlineStr">
        <is>
          <t>Taux effectif observe, stable</t>
        </is>
      </c>
    </row>
    <row r="11">
      <c r="A11" s="6" t="inlineStr">
        <is>
          <t>Taux d'impot 2028</t>
        </is>
      </c>
      <c r="B11" s="7" t="inlineStr">
        <is>
          <t>tauxIS_2028</t>
        </is>
      </c>
      <c r="C11" s="8" t="n">
        <v>0.25</v>
      </c>
      <c r="D11" s="7" t="inlineStr">
        <is>
          <t>normatif</t>
        </is>
      </c>
      <c r="E11" s="7" t="inlineStr">
        <is>
          <t>—</t>
        </is>
      </c>
      <c r="F11" s="9" t="inlineStr">
        <is>
          <t>Taux effectif observe, stable</t>
        </is>
      </c>
    </row>
    <row r="12">
      <c r="A12" s="6" t="inlineStr">
        <is>
          <t>Capex / CA</t>
        </is>
      </c>
      <c r="B12" s="7" t="inlineStr">
        <is>
          <t>capexRatio</t>
        </is>
      </c>
      <c r="C12" s="8" t="n">
        <v>0.04</v>
      </c>
      <c r="D12" s="7" t="inlineStr">
        <is>
          <t>normatif</t>
        </is>
      </c>
      <c r="E12" s="7" t="inlineStr">
        <is>
          <t>—</t>
        </is>
      </c>
      <c r="F12" s="9" t="inlineStr">
        <is>
          <t>Capex normatif, stable</t>
        </is>
      </c>
    </row>
    <row r="13">
      <c r="A13" s="6" t="inlineStr">
        <is>
          <t>Duree d'amortissement</t>
        </is>
      </c>
      <c r="B13" s="7" t="inlineStr">
        <is>
          <t>dureeAmort</t>
        </is>
      </c>
      <c r="C13" s="8" t="n">
        <v>10</v>
      </c>
      <c r="D13" s="7" t="inlineStr">
        <is>
          <t>normatif</t>
        </is>
      </c>
      <c r="E13" s="7" t="inlineStr">
        <is>
          <t>—</t>
        </is>
      </c>
      <c r="F13" s="9" t="inlineStr">
        <is>
          <t>Duree implicite du parc</t>
        </is>
      </c>
    </row>
    <row r="14">
      <c r="A14" s="6" t="inlineStr">
        <is>
          <t>Spread normatif sur dette nette</t>
        </is>
      </c>
      <c r="B14" s="7" t="inlineStr">
        <is>
          <t>spreadNormatif</t>
        </is>
      </c>
      <c r="C14" s="8" t="n">
        <v>0.05</v>
      </c>
      <c r="D14" s="7" t="inlineStr">
        <is>
          <t>rang 3</t>
        </is>
      </c>
      <c r="E14" s="7" t="inlineStr">
        <is>
          <t>—</t>
        </is>
      </c>
      <c r="F14" s="9" t="inlineStr">
        <is>
          <t>Rang 3 : spread normatif applique a la dette nette, aucun detail publie par instrument</t>
        </is>
      </c>
    </row>
    <row r="15">
      <c r="A15" s="6" t="inlineStr">
        <is>
          <t>Rachat d'actions / an</t>
        </is>
      </c>
      <c r="B15" s="7" t="inlineStr">
        <is>
          <t>rachatPct</t>
        </is>
      </c>
      <c r="C15" s="8" t="n">
        <v>0</v>
      </c>
      <c r="D15" s="7" t="inlineStr">
        <is>
          <t>normatif</t>
        </is>
      </c>
      <c r="E15" s="7" t="inlineStr">
        <is>
          <t>—</t>
        </is>
      </c>
      <c r="F15" s="9" t="inlineStr">
        <is>
          <t>Aucun programme de rachat</t>
        </is>
      </c>
    </row>
    <row r="16">
      <c r="A16" s="6" t="inlineStr">
        <is>
          <t>Taux de distribution</t>
        </is>
      </c>
      <c r="B16" s="7" t="inlineStr">
        <is>
          <t>tauxDistrib</t>
        </is>
      </c>
      <c r="C16" s="8" t="n">
        <v>0.4</v>
      </c>
      <c r="D16" s="7" t="inlineStr">
        <is>
          <t>normatif</t>
        </is>
      </c>
      <c r="E16" s="7" t="inlineStr">
        <is>
          <t>—</t>
        </is>
      </c>
      <c r="F16" s="9" t="inlineStr">
        <is>
          <t>Politique de dividende : 40 % du resultat net</t>
        </is>
      </c>
    </row>
    <row r="17">
      <c r="A17" s="6" t="inlineStr">
        <is>
          <t>Croissance terminale</t>
        </is>
      </c>
      <c r="B17" s="7" t="inlineStr">
        <is>
          <t>gTerminal</t>
        </is>
      </c>
      <c r="C17" s="8" t="n">
        <v>0.03</v>
      </c>
      <c r="D17" s="7" t="inlineStr">
        <is>
          <t>normatif</t>
        </is>
      </c>
      <c r="E17" s="7" t="inlineStr">
        <is>
          <t>—</t>
        </is>
      </c>
      <c r="F17" s="9" t="inlineStr">
        <is>
          <t>Au-dela de l'horizon pose, convergence vers ces valeurs</t>
        </is>
      </c>
    </row>
    <row r="18">
      <c r="A18" s="6" t="inlineStr">
        <is>
          <t>Marge terminale</t>
        </is>
      </c>
      <c r="B18" s="7" t="inlineStr">
        <is>
          <t>margeTerminale</t>
        </is>
      </c>
      <c r="C18" s="8" t="n">
        <v>0.2</v>
      </c>
      <c r="D18" s="7" t="inlineStr">
        <is>
          <t>normatif</t>
        </is>
      </c>
      <c r="E18" s="7" t="inlineStr">
        <is>
          <t>—</t>
        </is>
      </c>
      <c r="F18" s="9" t="inlineStr">
        <is>
          <t>Au-dela de l'horizon pose, convergence vers ces valeurs</t>
        </is>
      </c>
    </row>
    <row r="19">
      <c r="A19" s="6" t="inlineStr">
        <is>
          <t>Minoritaires / resultat</t>
        </is>
      </c>
      <c r="B19" s="7" t="inlineStr">
        <is>
          <t>partMinos</t>
        </is>
      </c>
      <c r="C19" s="8" t="n">
        <v>-0</v>
      </c>
      <c r="D19" s="7" t="inlineStr">
        <is>
          <t>normatif</t>
        </is>
      </c>
      <c r="E19" s="7" t="inlineStr">
        <is>
          <t>—</t>
        </is>
      </c>
      <c r="F19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— un modele unique, les barreaux non publies restent vides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barreau</t>
        </is>
      </c>
      <c r="B2" s="5" t="inlineStr">
        <is>
          <t>2021-FY</t>
        </is>
      </c>
      <c r="C2" s="5" t="inlineStr">
        <is>
          <t>2022-FY</t>
        </is>
      </c>
      <c r="D2" s="5" t="inlineStr">
        <is>
          <t>2023-FY</t>
        </is>
      </c>
      <c r="E2" s="5" t="inlineStr">
        <is>
          <t>2024-FY</t>
        </is>
      </c>
      <c r="F2" s="5" t="inlineStr">
        <is>
          <t>2025-FY</t>
        </is>
      </c>
    </row>
    <row r="3">
      <c r="A3" s="10" t="inlineStr">
        <is>
          <t>ca</t>
        </is>
      </c>
      <c r="B3" s="11" t="n">
        <v>411</v>
      </c>
      <c r="C3" s="11" t="n">
        <v>432</v>
      </c>
      <c r="D3" s="11" t="n">
        <v>453</v>
      </c>
      <c r="E3" s="11" t="n">
        <v>476</v>
      </c>
      <c r="F3" s="11" t="n">
        <v>500</v>
      </c>
    </row>
    <row r="4">
      <c r="A4" s="10" t="inlineStr">
        <is>
          <t>margeBrute</t>
        </is>
      </c>
      <c r="B4" s="11" t="n">
        <v>246</v>
      </c>
      <c r="C4" s="11" t="n">
        <v>259</v>
      </c>
      <c r="D4" s="11" t="n">
        <v>272</v>
      </c>
      <c r="E4" s="11" t="n">
        <v>286</v>
      </c>
      <c r="F4" s="11" t="n">
        <v>300</v>
      </c>
    </row>
    <row r="5">
      <c r="A5" s="10" t="inlineStr">
        <is>
          <t>ebitda</t>
        </is>
      </c>
      <c r="B5" s="11" t="n">
        <v>80</v>
      </c>
      <c r="C5" s="11" t="n">
        <v>85</v>
      </c>
      <c r="D5" s="11" t="n">
        <v>89</v>
      </c>
      <c r="E5" s="11" t="n">
        <v>94</v>
      </c>
      <c r="F5" s="11" t="n">
        <v>100</v>
      </c>
    </row>
    <row r="6">
      <c r="A6" s="10" t="inlineStr">
        <is>
          <t>da</t>
        </is>
      </c>
      <c r="B6" s="11" t="n">
        <v>-16</v>
      </c>
      <c r="C6" s="11" t="n">
        <v>-17</v>
      </c>
      <c r="D6" s="11" t="n">
        <v>-18</v>
      </c>
      <c r="E6" s="11" t="n">
        <v>-19</v>
      </c>
      <c r="F6" s="11" t="n">
        <v>-20</v>
      </c>
    </row>
    <row r="7">
      <c r="A7" s="10" t="inlineStr">
        <is>
          <t>ebit</t>
        </is>
      </c>
      <c r="B7" s="11" t="n">
        <v>64</v>
      </c>
      <c r="C7" s="11" t="n">
        <v>68</v>
      </c>
      <c r="D7" s="11" t="n">
        <v>71</v>
      </c>
      <c r="E7" s="11" t="n">
        <v>75</v>
      </c>
      <c r="F7" s="11" t="n">
        <v>80</v>
      </c>
    </row>
    <row r="8">
      <c r="A8" s="10" t="inlineStr">
        <is>
          <t>finNet</t>
        </is>
      </c>
      <c r="B8" s="11" t="n">
        <v>-6</v>
      </c>
      <c r="C8" s="11" t="n">
        <v>-6</v>
      </c>
      <c r="D8" s="11" t="n">
        <v>-5.5</v>
      </c>
      <c r="E8" s="11" t="n">
        <v>-5.2</v>
      </c>
      <c r="F8" s="11" t="n">
        <v>-5</v>
      </c>
    </row>
    <row r="9">
      <c r="A9" s="10" t="inlineStr">
        <is>
          <t>avantImpot</t>
        </is>
      </c>
      <c r="B9" s="11" t="n">
        <v>58</v>
      </c>
      <c r="C9" s="11" t="n">
        <v>62</v>
      </c>
      <c r="D9" s="11" t="n">
        <v>65.5</v>
      </c>
      <c r="E9" s="11" t="n">
        <v>69.8</v>
      </c>
      <c r="F9" s="11" t="n">
        <v>75</v>
      </c>
    </row>
    <row r="10">
      <c r="A10" s="10" t="inlineStr">
        <is>
          <t>impot</t>
        </is>
      </c>
      <c r="B10" s="11" t="n">
        <v>-14.5</v>
      </c>
      <c r="C10" s="11" t="n">
        <v>-15.5</v>
      </c>
      <c r="D10" s="11" t="n">
        <v>-16.4</v>
      </c>
      <c r="E10" s="11" t="n">
        <v>-17.4</v>
      </c>
      <c r="F10" s="11" t="n">
        <v>-18.8</v>
      </c>
    </row>
    <row r="11">
      <c r="A11" s="10" t="inlineStr">
        <is>
          <t>minoritaires</t>
        </is>
      </c>
      <c r="B11" s="11" t="n">
        <v>-0</v>
      </c>
      <c r="C11" s="11" t="n">
        <v>-0</v>
      </c>
      <c r="D11" s="11" t="n">
        <v>-0</v>
      </c>
      <c r="E11" s="11" t="n">
        <v>-0</v>
      </c>
      <c r="F11" s="11" t="n">
        <v>-0</v>
      </c>
    </row>
    <row r="12">
      <c r="A12" s="10" t="inlineStr">
        <is>
          <t>net</t>
        </is>
      </c>
      <c r="B12" s="11" t="n">
        <v>43.5</v>
      </c>
      <c r="C12" s="11" t="n">
        <v>46.5</v>
      </c>
      <c r="D12" s="11" t="n">
        <v>49.1</v>
      </c>
      <c r="E12" s="11" t="n">
        <v>52.4</v>
      </c>
      <c r="F12" s="11" t="n">
        <v>56.2</v>
      </c>
    </row>
    <row r="14">
      <c r="A14" s="2" t="inlineStr">
        <is>
          <t>Taux d'impot effectif observe</t>
        </is>
      </c>
      <c r="B14" s="12" t="n">
        <v>0.25</v>
      </c>
      <c r="C14" s="12" t="n">
        <v>0.25</v>
      </c>
      <c r="D14" s="12" t="n">
        <v>0.2503816793893129</v>
      </c>
      <c r="E14" s="12" t="n">
        <v>0.2492836676217765</v>
      </c>
      <c r="F14" s="12" t="n">
        <v>0.2506666666666666</v>
      </c>
    </row>
    <row r="16">
      <c r="A16" s="2" t="inlineStr">
        <is>
          <t>IDENTITES DE L'ECHELLE</t>
        </is>
      </c>
    </row>
    <row r="17">
      <c r="A17" s="13" t="inlineStr">
        <is>
          <t>ebitda + da = ebit</t>
        </is>
      </c>
      <c r="F17" s="14">
        <f>pub_ebitda+pub_da-pub_ebit</f>
        <v/>
      </c>
      <c r="G17" s="2">
        <f>IF(ABS(F17)&lt;=MAX(1,ABS(pub_ebit)*0.005),"OK","ECART")</f>
        <v/>
      </c>
    </row>
    <row r="18">
      <c r="A18" s="13" t="inlineStr">
        <is>
          <t>ebit + finNet = avantImpot</t>
        </is>
      </c>
      <c r="F18" s="14">
        <f>pub_ebit+pub_finNet-pub_avantImpot</f>
        <v/>
      </c>
      <c r="G18" s="2">
        <f>IF(ABS(F18)&lt;=MAX(1,ABS(pub_avantImpot)*0.005),"OK","ECART")</f>
        <v/>
      </c>
    </row>
    <row r="19">
      <c r="A19" s="13" t="inlineStr">
        <is>
          <t>avantImpot + impot + minoritaires = net</t>
        </is>
      </c>
      <c r="F19" s="14">
        <f>pub_avantImpot+pub_impot+pub_minoritaires-pub_net</f>
        <v/>
      </c>
      <c r="G19" s="2">
        <f>IF(ABS(F19)&lt;=MAX(1,ABS(pub_net)*0.005),"OK","ECART")</f>
        <v/>
      </c>
    </row>
    <row r="21">
      <c r="A21" s="1" t="inlineStr">
        <is>
          <t>RETRAITEMENTS — la table de l'emetteur, ligne a ligne</t>
        </is>
      </c>
      <c r="B21" s="4" t="n"/>
      <c r="C21" s="4" t="n"/>
      <c r="D21" s="4" t="n"/>
      <c r="E21" s="4" t="n"/>
      <c r="F21" s="4" t="n"/>
      <c r="G21" s="4" t="n"/>
    </row>
    <row r="22">
      <c r="A22" s="5" t="inlineStr">
        <is>
          <t>ligne</t>
        </is>
      </c>
      <c r="B22" s="5" t="inlineStr">
        <is>
          <t>ebitda</t>
        </is>
      </c>
      <c r="C22" s="5" t="inlineStr">
        <is>
          <t>ebit</t>
        </is>
      </c>
      <c r="D22" s="5" t="inlineStr">
        <is>
          <t>net</t>
        </is>
      </c>
      <c r="E22" s="5" t="inlineStr">
        <is>
          <t>classe</t>
        </is>
      </c>
      <c r="F22" s="5" t="inlineStr">
        <is>
          <t>origine</t>
        </is>
      </c>
      <c r="G22" s="5" t="inlineStr">
        <is>
          <t>libelle</t>
        </is>
      </c>
    </row>
    <row r="23">
      <c r="A23" s="10" t="inlineStr">
        <is>
          <t>impot sur retraitements</t>
        </is>
      </c>
      <c r="D23" s="15" t="n">
        <v>0</v>
      </c>
    </row>
    <row r="25">
      <c r="A25" s="1" t="inlineStr">
        <is>
          <t>LES TROIS BASES — calculees, jamais saisies</t>
        </is>
      </c>
      <c r="B25" s="4" t="n"/>
      <c r="C25" s="4" t="n"/>
      <c r="D25" s="4" t="n"/>
      <c r="E25" s="4" t="n"/>
      <c r="F25" s="4" t="n"/>
      <c r="G25" s="4" t="n"/>
    </row>
    <row r="26">
      <c r="A26" s="5" t="inlineStr">
        <is>
          <t>base</t>
        </is>
      </c>
      <c r="B26" s="5" t="inlineStr">
        <is>
          <t>ebitda</t>
        </is>
      </c>
      <c r="C26" s="5" t="inlineStr">
        <is>
          <t>ebit</t>
        </is>
      </c>
      <c r="D26" s="5" t="inlineStr">
        <is>
          <t>net</t>
        </is>
      </c>
      <c r="E26" s="5" t="inlineStr">
        <is>
          <t>moteur (net)</t>
        </is>
      </c>
    </row>
    <row r="27">
      <c r="A27" s="10" t="inlineStr">
        <is>
          <t>Omnium (publie + vrais one-offs)</t>
        </is>
      </c>
      <c r="B27" s="11">
        <f>pub_ebitda+SUMIF($E$23:$E$22,"oneOff",B$23:B$22)</f>
        <v/>
      </c>
      <c r="C27" s="11">
        <f>pub_ebit+SUMIF($E$23:$E$22,"oneOff",C$23:C$22)</f>
        <v/>
      </c>
      <c r="D27" s="11">
        <f>pub_net+SUMIF($E$23:$E$22,"oneOff",D$23:D$22)+impotRet*SUMIF($E$23:$E$22,"oneOff",$D$23:$D$22)/SUM($D$23:$D$22)</f>
        <v/>
      </c>
      <c r="E27" s="13" t="n">
        <v>56.2</v>
      </c>
    </row>
    <row r="28">
      <c r="A28" s="10" t="inlineStr">
        <is>
          <t>Ajuste du management (+ recurrents)</t>
        </is>
      </c>
      <c r="B28" s="11">
        <f>pub_ebitda+SUM(B$23:B$22)</f>
        <v/>
      </c>
      <c r="C28" s="11">
        <f>pub_ebit+SUM(C$23:C$22)</f>
        <v/>
      </c>
      <c r="D28" s="11">
        <f>pub_net+SUM(D$23:D$22)+impotRet</f>
        <v/>
      </c>
      <c r="E28" s="13" t="n">
        <v>56.2</v>
      </c>
    </row>
    <row r="29">
      <c r="A29" s="10" t="inlineStr">
        <is>
          <t>Coin = recurrents-deguises</t>
        </is>
      </c>
      <c r="B29" s="11">
        <f>SUMIF($E$23:$E$22,"recurrent",B$23:B$22)</f>
        <v/>
      </c>
      <c r="C29" s="11">
        <f>SUMIF($E$23:$E$22,"recurrent",C$23:C$22)</f>
        <v/>
      </c>
      <c r="D29" s="11">
        <f>SUMIF($E$23:$E$22,"recurrent",D$23:D$22)+impotRet*SUMIF($E$23:$E$22,"recurrent",$D$23:$D$22)/SUM($D$23:$D$22)</f>
        <v/>
      </c>
      <c r="E29" s="13" t="n">
        <v>0</v>
      </c>
    </row>
    <row r="30">
      <c r="A30" s="2" t="inlineStr">
        <is>
          <t>ajuste PUBLIE par la societe (cible de bouclage)</t>
        </is>
      </c>
    </row>
    <row r="31">
      <c r="A31" s="2" t="inlineStr">
        <is>
          <t>BOUCLAGE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84" customWidth="1" min="2" max="2"/>
    <col width="46" customWidth="1" min="3" max="3"/>
  </cols>
  <sheetData>
    <row r="1">
      <c r="A1" s="1" t="inlineStr">
        <is>
          <t>FORMULES DU MODELE — l'ecriture du calcul, ligne par ligne</t>
        </is>
      </c>
      <c r="B1" s="4" t="n"/>
      <c r="C1" s="4" t="n"/>
    </row>
    <row r="2">
      <c r="A2" s="5" t="inlineStr">
        <is>
          <t>ligne</t>
        </is>
      </c>
      <c r="B2" s="5" t="inlineStr">
        <is>
          <t>calcul</t>
        </is>
      </c>
      <c r="C2" s="5" t="inlineStr">
        <is>
          <t>formule posee sur 2026</t>
        </is>
      </c>
    </row>
    <row r="3" ht="28" customHeight="1">
      <c r="A3" s="16" t="inlineStr">
        <is>
          <t>Chiffre d'affaires</t>
        </is>
      </c>
      <c r="B3" s="17" t="inlineStr">
        <is>
          <t>CA(n) = CA(n-1) x (1 + g_n)</t>
        </is>
      </c>
      <c r="C3" s="7" t="inlineStr">
        <is>
          <t>'=B3*(1+g_2026)</t>
        </is>
      </c>
    </row>
    <row r="4" ht="28" customHeight="1">
      <c r="A4" s="16" t="inlineStr">
        <is>
          <t>EBITDA</t>
        </is>
      </c>
      <c r="B4" s="17" t="inlineStr">
        <is>
          <t>EBITDA(n) = CA(n) x marge_n</t>
        </is>
      </c>
      <c r="C4" s="7" t="inlineStr">
        <is>
          <t>'=C3*C5</t>
        </is>
      </c>
    </row>
    <row r="5" ht="28" customHeight="1">
      <c r="A5" s="16" t="inlineStr">
        <is>
          <t>dotations hors PPA</t>
        </is>
      </c>
      <c r="B5" s="17" t="inlineStr">
        <is>
          <t>dotHorsPPA(n) = dotHorsPPA(n-1) + CA(n-1) x capexRatio / dureeAmort</t>
        </is>
      </c>
      <c r="C5" s="7" t="inlineStr">
        <is>
          <t>'=B7+B3*capexRatio/dureeAmort</t>
        </is>
      </c>
    </row>
    <row r="6" ht="28" customHeight="1">
      <c r="A6" s="16" t="inlineStr">
        <is>
          <t>Dotations</t>
        </is>
      </c>
      <c r="B6" s="17" t="inlineStr">
        <is>
          <t>dotations(n) = -( dotHorsPPA(n) + amortPPA(n) )</t>
        </is>
      </c>
      <c r="C6" s="7" t="inlineStr">
        <is>
          <t>'=-(C7+C8)</t>
        </is>
      </c>
    </row>
    <row r="7" ht="28" customHeight="1">
      <c r="A7" s="16" t="inlineStr">
        <is>
          <t>EBIT</t>
        </is>
      </c>
      <c r="B7" s="17" t="inlineStr">
        <is>
          <t>EBIT(n) = EBITDA(n) + dotations(n)</t>
        </is>
      </c>
      <c r="C7" s="7" t="inlineStr">
        <is>
          <t>'=C6+C9</t>
        </is>
      </c>
    </row>
    <row r="8" ht="28" customHeight="1">
      <c r="A8" s="16" t="inlineStr">
        <is>
          <t>Resultat financier (rang 3)</t>
        </is>
      </c>
      <c r="B8" s="17" t="inlineStr">
        <is>
          <t>resultatFinancier(n) = -( detteBrute(n-1) - tresorerie(n-1) + detteLocative(n-1) ) x spreadNormatif   [rang 3]</t>
        </is>
      </c>
      <c r="C8" s="7" t="inlineStr">
        <is>
          <t>'=-(B11-B12+B13)*spreadNormatif</t>
        </is>
      </c>
    </row>
    <row r="9" ht="28" customHeight="1">
      <c r="A9" s="16" t="inlineStr">
        <is>
          <t>Resultat avant impot</t>
        </is>
      </c>
      <c r="B9" s="17" t="inlineStr">
        <is>
          <t>avantImpot(n) = EBIT(n) + resultatFinancier(n)</t>
        </is>
      </c>
      <c r="C9" s="7" t="inlineStr">
        <is>
          <t>'=C10+C14</t>
        </is>
      </c>
    </row>
    <row r="10" ht="28" customHeight="1">
      <c r="A10" s="16" t="inlineStr">
        <is>
          <t>Impot</t>
        </is>
      </c>
      <c r="B10" s="17" t="inlineStr">
        <is>
          <t>impot(n) = -avantImpot(n) x tauxIS_n   [ou OVERRIDE declare]</t>
        </is>
      </c>
      <c r="C10" s="7" t="inlineStr">
        <is>
          <t>'=-C15*C16</t>
        </is>
      </c>
    </row>
    <row r="11" ht="28" customHeight="1">
      <c r="A11" s="16" t="inlineStr">
        <is>
          <t>Minoritaires</t>
        </is>
      </c>
      <c r="B11" s="17" t="inlineStr">
        <is>
          <t>minoritaires(n) = partMinos x ( avantImpot(n) + impot(n) )</t>
        </is>
      </c>
      <c r="C11" s="7" t="inlineStr">
        <is>
          <t>'=partMinos*(C15+C17)</t>
        </is>
      </c>
    </row>
    <row r="12" ht="28" customHeight="1">
      <c r="A12" s="16" t="inlineStr">
        <is>
          <t>Resultat net</t>
        </is>
      </c>
      <c r="B12" s="17" t="inlineStr">
        <is>
          <t>net(n) = avantImpot(n) + impot(n) + minoritaires(n)</t>
        </is>
      </c>
      <c r="C12" s="7" t="inlineStr">
        <is>
          <t>'=C15+C17+C18</t>
        </is>
      </c>
    </row>
    <row r="13" ht="28" customHeight="1">
      <c r="A13" s="16" t="inlineStr">
        <is>
          <t>Actions (millions)</t>
        </is>
      </c>
      <c r="B13" s="17" t="inlineStr">
        <is>
          <t>actions(n) = actions(n-1) x (1 - rachatPct)</t>
        </is>
      </c>
      <c r="C13" s="7" t="inlineStr">
        <is>
          <t>'=B20*(1-rachatPct)</t>
        </is>
      </c>
    </row>
    <row r="14" ht="28" customHeight="1">
      <c r="A14" s="16" t="inlineStr">
        <is>
          <t>BPA</t>
        </is>
      </c>
      <c r="B14" s="17" t="inlineStr">
        <is>
          <t>BPA(n) = net(n) / actions(n)</t>
        </is>
      </c>
      <c r="C14" s="7" t="inlineStr">
        <is>
          <t>'=C19/C20</t>
        </is>
      </c>
    </row>
    <row r="15" ht="28" customHeight="1">
      <c r="A15" s="16" t="inlineStr">
        <is>
          <t>Dividende verse</t>
        </is>
      </c>
      <c r="B15" s="17" t="inlineStr">
        <is>
          <t>dividende(n) = net(n) x tauxDistrib</t>
        </is>
      </c>
      <c r="C15" s="7" t="inlineStr">
        <is>
          <t>'=C19*tauxDistrib</t>
        </is>
      </c>
    </row>
    <row r="17">
      <c r="A17" s="2" t="inlineStr">
        <is>
          <t>OU LIRE LE RESTE</t>
        </is>
      </c>
    </row>
    <row r="18">
      <c r="A18" s="10" t="inlineStr">
        <is>
          <t>Hypotheses</t>
        </is>
      </c>
      <c r="B18" s="13" t="inlineStr">
        <is>
          <t>la valeur de chaque moteur, son rang de provenance et sa peremption</t>
        </is>
      </c>
    </row>
    <row r="19">
      <c r="A19" s="10" t="inlineStr">
        <is>
          <t>Historique</t>
        </is>
      </c>
      <c r="B19" s="13" t="inlineStr">
        <is>
          <t>l'echelle publiee de chaque exercice, ses identites, et les trois bases</t>
        </is>
      </c>
    </row>
    <row r="20">
      <c r="A20" s="10" t="inlineStr">
        <is>
          <t>Modele</t>
        </is>
      </c>
      <c r="B20" s="13" t="inlineStr">
        <is>
          <t>le deroule annee par annee ; la colonne de droite porte la valeur du moteur Python</t>
        </is>
      </c>
    </row>
    <row r="21">
      <c r="A21" s="10" t="inlineStr">
        <is>
          <t>Controles</t>
        </is>
      </c>
      <c r="B21" s="13" t="inlineStr">
        <is>
          <t>formule contre moteur, cellule a cellule</t>
        </is>
      </c>
    </row>
    <row r="22">
      <c r="A22" s="10" t="inlineStr">
        <is>
          <t>engine/model.py</t>
        </is>
      </c>
      <c r="B22" s="13" t="inlineStr">
        <is>
          <t>la SOURCE des formules ci-dessus — le classeur n'en est que le miroir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</row>
    <row r="2">
      <c r="A2" s="5" t="inlineStr">
        <is>
          <t>ligne</t>
        </is>
      </c>
      <c r="B2" s="5" t="n">
        <v>2025</v>
      </c>
      <c r="C2" s="18" t="n">
        <v>2026</v>
      </c>
      <c r="D2" s="18" t="n">
        <v>2027</v>
      </c>
      <c r="E2" s="18" t="n">
        <v>2028</v>
      </c>
      <c r="G2" s="13" t="n">
        <v>2026</v>
      </c>
      <c r="H2" s="13" t="n">
        <v>2027</v>
      </c>
      <c r="I2" s="13" t="n">
        <v>2028</v>
      </c>
    </row>
    <row r="3">
      <c r="A3" s="2" t="inlineStr">
        <is>
          <t>Chiffre d'affaires</t>
        </is>
      </c>
      <c r="B3" s="11" t="n">
        <v>500</v>
      </c>
      <c r="C3" s="19">
        <f>B3*(1+g_2026)</f>
        <v/>
      </c>
      <c r="D3" s="19">
        <f>C3*(1+g_2027)</f>
        <v/>
      </c>
      <c r="E3" s="19">
        <f>D3*(1+g_2028)</f>
        <v/>
      </c>
      <c r="G3" s="20" t="n">
        <v>525</v>
      </c>
      <c r="H3" s="20" t="n">
        <v>551.25</v>
      </c>
      <c r="I3" s="20" t="n">
        <v>578.8125</v>
      </c>
    </row>
    <row r="4">
      <c r="A4" s="10" t="inlineStr">
        <is>
          <t>Croissance</t>
        </is>
      </c>
      <c r="C4" s="21">
        <f>g_2026</f>
        <v/>
      </c>
      <c r="D4" s="21">
        <f>g_2027</f>
        <v/>
      </c>
      <c r="E4" s="21">
        <f>g_2028</f>
        <v/>
      </c>
      <c r="G4" s="22" t="n">
        <v>0.05</v>
      </c>
      <c r="H4" s="22" t="n">
        <v>0.05</v>
      </c>
      <c r="I4" s="22" t="n">
        <v>0.05</v>
      </c>
    </row>
    <row r="5">
      <c r="A5" s="10" t="inlineStr">
        <is>
          <t>Marge d'EBITDA</t>
        </is>
      </c>
      <c r="C5" s="21">
        <f>marge_2026</f>
        <v/>
      </c>
      <c r="D5" s="21">
        <f>marge_2027</f>
        <v/>
      </c>
      <c r="E5" s="21">
        <f>marge_2028</f>
        <v/>
      </c>
      <c r="G5" s="22" t="n">
        <v>0.2</v>
      </c>
      <c r="H5" s="22" t="n">
        <v>0.2</v>
      </c>
      <c r="I5" s="22" t="n">
        <v>0.2</v>
      </c>
    </row>
    <row r="6">
      <c r="A6" s="2" t="inlineStr">
        <is>
          <t>EBITDA</t>
        </is>
      </c>
      <c r="B6" s="11" t="n">
        <v>100</v>
      </c>
      <c r="C6" s="19">
        <f>C3*C5</f>
        <v/>
      </c>
      <c r="D6" s="19">
        <f>D3*D5</f>
        <v/>
      </c>
      <c r="E6" s="19">
        <f>E3*E5</f>
        <v/>
      </c>
      <c r="G6" s="20" t="n">
        <v>105</v>
      </c>
      <c r="H6" s="20" t="n">
        <v>110.25</v>
      </c>
      <c r="I6" s="20" t="n">
        <v>115.7625</v>
      </c>
    </row>
    <row r="7">
      <c r="A7" s="10" t="inlineStr">
        <is>
          <t xml:space="preserve">  dotations hors PPA</t>
        </is>
      </c>
      <c r="B7" s="11" t="n">
        <v>20</v>
      </c>
      <c r="C7" s="19">
        <f>B7+B3*capexRatio/dureeAmort</f>
        <v/>
      </c>
      <c r="D7" s="19">
        <f>C7+C3*capexRatio/dureeAmort</f>
        <v/>
      </c>
      <c r="E7" s="19">
        <f>D7+D3*capexRatio/dureeAmort</f>
        <v/>
      </c>
      <c r="G7" s="20" t="n">
        <v>22</v>
      </c>
      <c r="H7" s="20" t="n">
        <v>24.1</v>
      </c>
      <c r="I7" s="20" t="n">
        <v>26.305</v>
      </c>
    </row>
    <row r="8">
      <c r="A8" s="10" t="inlineStr">
        <is>
          <t xml:space="preserve">  amortissement du PPA</t>
        </is>
      </c>
      <c r="B8" s="11" t="n">
        <v>0</v>
      </c>
      <c r="C8" s="19">
        <f>0</f>
        <v/>
      </c>
      <c r="D8" s="19">
        <f>0</f>
        <v/>
      </c>
      <c r="E8" s="19">
        <f>0</f>
        <v/>
      </c>
      <c r="G8" s="20" t="n">
        <v>0</v>
      </c>
      <c r="H8" s="20" t="n">
        <v>0</v>
      </c>
      <c r="I8" s="20" t="n">
        <v>0</v>
      </c>
    </row>
    <row r="9">
      <c r="A9" s="10" t="inlineStr">
        <is>
          <t>Dotations</t>
        </is>
      </c>
      <c r="B9" s="11" t="n">
        <v>-20</v>
      </c>
      <c r="C9" s="19">
        <f>-(C7+C8)</f>
        <v/>
      </c>
      <c r="D9" s="19">
        <f>-(D7+D8)</f>
        <v/>
      </c>
      <c r="E9" s="19">
        <f>-(E7+E8)</f>
        <v/>
      </c>
      <c r="G9" s="20" t="n">
        <v>-22</v>
      </c>
      <c r="H9" s="20" t="n">
        <v>-24.1</v>
      </c>
      <c r="I9" s="20" t="n">
        <v>-26.305</v>
      </c>
    </row>
    <row r="10">
      <c r="A10" s="2" t="inlineStr">
        <is>
          <t>EBIT</t>
        </is>
      </c>
      <c r="B10" s="11" t="n">
        <v>80</v>
      </c>
      <c r="C10" s="19">
        <f>C6+C9</f>
        <v/>
      </c>
      <c r="D10" s="19">
        <f>D6+D9</f>
        <v/>
      </c>
      <c r="E10" s="19">
        <f>E6+E9</f>
        <v/>
      </c>
      <c r="G10" s="20" t="n">
        <v>83</v>
      </c>
      <c r="H10" s="20" t="n">
        <v>86.15000000000001</v>
      </c>
      <c r="I10" s="20" t="n">
        <v>89.4575</v>
      </c>
    </row>
    <row r="11">
      <c r="A11" s="10" t="inlineStr">
        <is>
          <t>Dette brute</t>
        </is>
      </c>
      <c r="B11" s="11" t="n">
        <v>150</v>
      </c>
      <c r="C11" s="19">
        <f>B11</f>
        <v/>
      </c>
      <c r="D11" s="19">
        <f>C11</f>
        <v/>
      </c>
      <c r="E11" s="19">
        <f>D11</f>
        <v/>
      </c>
    </row>
    <row r="12">
      <c r="A12" s="10" t="inlineStr">
        <is>
          <t>Tresorerie</t>
        </is>
      </c>
      <c r="B12" s="11" t="n">
        <v>50</v>
      </c>
      <c r="C12" s="19">
        <f>B12+C19-C22-B3*capexRatio-C9</f>
        <v/>
      </c>
      <c r="D12" s="19">
        <f>C12+D19-D22-C3*capexRatio-D9</f>
        <v/>
      </c>
      <c r="E12" s="19">
        <f>D12+E19-E22-D3*capexRatio-E9</f>
        <v/>
      </c>
    </row>
    <row r="13">
      <c r="A13" s="10" t="inlineStr">
        <is>
          <t>Dette locative</t>
        </is>
      </c>
      <c r="B13" s="11" t="n">
        <v>0</v>
      </c>
      <c r="C13" s="19">
        <f>B13</f>
        <v/>
      </c>
      <c r="D13" s="19">
        <f>C13</f>
        <v/>
      </c>
      <c r="E13" s="19">
        <f>D13</f>
        <v/>
      </c>
    </row>
    <row r="14">
      <c r="A14" s="10" t="inlineStr">
        <is>
          <t>Resultat financier (rang 3)</t>
        </is>
      </c>
      <c r="B14" s="11" t="n">
        <v>-5</v>
      </c>
      <c r="C14" s="19">
        <f>-(B11-B12+B13)*spreadNormatif</f>
        <v/>
      </c>
      <c r="D14" s="19">
        <f>-(C11-C12+C13)*spreadNormatif</f>
        <v/>
      </c>
      <c r="E14" s="19">
        <f>-(D11-D12+D13)*spreadNormatif</f>
        <v/>
      </c>
      <c r="G14" s="20" t="n">
        <v>-5</v>
      </c>
      <c r="H14" s="20" t="n">
        <v>-3.145</v>
      </c>
      <c r="I14" s="20" t="n">
        <v>-1.1224</v>
      </c>
    </row>
    <row r="15">
      <c r="A15" s="10" t="inlineStr">
        <is>
          <t>Resultat avant impot</t>
        </is>
      </c>
      <c r="B15" s="11" t="n">
        <v>75</v>
      </c>
      <c r="C15" s="19">
        <f>C10+C14</f>
        <v/>
      </c>
      <c r="D15" s="19">
        <f>D10+D14</f>
        <v/>
      </c>
      <c r="E15" s="19">
        <f>E10+E14</f>
        <v/>
      </c>
      <c r="G15" s="20" t="n">
        <v>78</v>
      </c>
      <c r="H15" s="20" t="n">
        <v>83.005</v>
      </c>
      <c r="I15" s="20" t="n">
        <v>88.3351</v>
      </c>
    </row>
    <row r="16">
      <c r="A16" s="10" t="inlineStr">
        <is>
          <t>Taux d'impot applique</t>
        </is>
      </c>
      <c r="C16" s="21">
        <f>tauxIS_2026</f>
        <v/>
      </c>
      <c r="D16" s="21">
        <f>tauxIS_2027</f>
        <v/>
      </c>
      <c r="E16" s="21">
        <f>tauxIS_2028</f>
        <v/>
      </c>
      <c r="G16" s="22" t="n">
        <v>0.25</v>
      </c>
      <c r="H16" s="22" t="n">
        <v>0.25</v>
      </c>
      <c r="I16" s="22" t="n">
        <v>0.25</v>
      </c>
    </row>
    <row r="17">
      <c r="A17" s="10" t="inlineStr">
        <is>
          <t>Impot</t>
        </is>
      </c>
      <c r="B17" s="11" t="n">
        <v>-18.8</v>
      </c>
      <c r="C17" s="19">
        <f>-C15*C16</f>
        <v/>
      </c>
      <c r="D17" s="19">
        <f>-D15*D16</f>
        <v/>
      </c>
      <c r="E17" s="19">
        <f>-E15*E16</f>
        <v/>
      </c>
      <c r="G17" s="20" t="n">
        <v>-19.5</v>
      </c>
      <c r="H17" s="20" t="n">
        <v>-20.7513</v>
      </c>
      <c r="I17" s="20" t="n">
        <v>-22.0838</v>
      </c>
    </row>
    <row r="18">
      <c r="A18" s="10" t="inlineStr">
        <is>
          <t>Minoritaires</t>
        </is>
      </c>
      <c r="B18" s="11" t="n">
        <v>-0</v>
      </c>
      <c r="C18" s="19">
        <f>partMinos*(C15+C17)</f>
        <v/>
      </c>
      <c r="D18" s="19">
        <f>partMinos*(D15+D17)</f>
        <v/>
      </c>
      <c r="E18" s="19">
        <f>partMinos*(E15+E17)</f>
        <v/>
      </c>
      <c r="G18" s="20" t="n">
        <v>-0</v>
      </c>
      <c r="H18" s="20" t="n">
        <v>-0</v>
      </c>
      <c r="I18" s="20" t="n">
        <v>-0</v>
      </c>
    </row>
    <row r="19">
      <c r="A19" s="2" t="inlineStr">
        <is>
          <t>Resultat net</t>
        </is>
      </c>
      <c r="B19" s="11" t="n">
        <v>56.2</v>
      </c>
      <c r="C19" s="19">
        <f>C15+C17+C18</f>
        <v/>
      </c>
      <c r="D19" s="19">
        <f>D15+D17+D18</f>
        <v/>
      </c>
      <c r="E19" s="19">
        <f>E15+E17+E18</f>
        <v/>
      </c>
      <c r="G19" s="20" t="n">
        <v>58.5</v>
      </c>
      <c r="H19" s="20" t="n">
        <v>62.2538</v>
      </c>
      <c r="I19" s="20" t="n">
        <v>66.2513</v>
      </c>
    </row>
    <row r="20">
      <c r="A20" s="10" t="inlineStr">
        <is>
          <t>Actions (millions)</t>
        </is>
      </c>
      <c r="B20" s="23" t="n">
        <v>25</v>
      </c>
      <c r="C20" s="24">
        <f>B20*(1-rachatPct)</f>
        <v/>
      </c>
      <c r="D20" s="24">
        <f>C20*(1-rachatPct)</f>
        <v/>
      </c>
      <c r="E20" s="24">
        <f>D20*(1-rachatPct)</f>
        <v/>
      </c>
      <c r="G20" s="25" t="n">
        <v>25</v>
      </c>
      <c r="H20" s="25" t="n">
        <v>25</v>
      </c>
      <c r="I20" s="25" t="n">
        <v>25</v>
      </c>
    </row>
    <row r="21">
      <c r="A21" s="2" t="inlineStr">
        <is>
          <t>BPA</t>
        </is>
      </c>
      <c r="B21" s="23" t="n">
        <v>2.248</v>
      </c>
      <c r="C21" s="24">
        <f>C19/C20</f>
        <v/>
      </c>
      <c r="D21" s="24">
        <f>D19/D20</f>
        <v/>
      </c>
      <c r="E21" s="24">
        <f>E19/E20</f>
        <v/>
      </c>
      <c r="G21" s="25" t="n">
        <v>2.34</v>
      </c>
      <c r="H21" s="25" t="n">
        <v>2.4902</v>
      </c>
      <c r="I21" s="25" t="n">
        <v>2.6501</v>
      </c>
    </row>
    <row r="22">
      <c r="A22" s="10" t="inlineStr">
        <is>
          <t>Dividende verse</t>
        </is>
      </c>
      <c r="C22" s="19">
        <f>C19*tauxDistrib</f>
        <v/>
      </c>
      <c r="D22" s="19">
        <f>D19*tauxDistrib</f>
        <v/>
      </c>
      <c r="E22" s="19">
        <f>E19*tauxDistrib</f>
        <v/>
      </c>
      <c r="G22" s="20" t="n">
        <v>23.4</v>
      </c>
      <c r="H22" s="20" t="n">
        <v>24.9015</v>
      </c>
      <c r="I22" s="20" t="n">
        <v>26.5005</v>
      </c>
    </row>
    <row r="24">
      <c r="A24" s="2" t="inlineStr">
        <is>
          <t>RANG DU MOTEUR — d'ou vient chaque hypothese</t>
        </is>
      </c>
    </row>
    <row r="25">
      <c r="A25" s="13" t="inlineStr">
        <is>
          <t xml:space="preserve">  croissance</t>
        </is>
      </c>
      <c r="C25" s="13" t="inlineStr">
        <is>
          <t>normatif</t>
        </is>
      </c>
      <c r="D25" s="13" t="inlineStr">
        <is>
          <t>normatif</t>
        </is>
      </c>
      <c r="E25" s="13" t="inlineStr">
        <is>
          <t>normatif</t>
        </is>
      </c>
    </row>
    <row r="26">
      <c r="A26" s="13" t="inlineStr">
        <is>
          <t xml:space="preserve">  marge</t>
        </is>
      </c>
      <c r="C26" s="13" t="inlineStr">
        <is>
          <t>normatif</t>
        </is>
      </c>
      <c r="D26" s="13" t="inlineStr">
        <is>
          <t>normatif</t>
        </is>
      </c>
      <c r="E26" s="13" t="inlineStr">
        <is>
          <t>normatif</t>
        </is>
      </c>
    </row>
    <row r="27">
      <c r="A27" s="13" t="inlineStr">
        <is>
          <t xml:space="preserve">  taux d'impot</t>
        </is>
      </c>
      <c r="C27" s="13" t="inlineStr">
        <is>
          <t>normatif</t>
        </is>
      </c>
      <c r="D27" s="13" t="inlineStr">
        <is>
          <t>normatif</t>
        </is>
      </c>
      <c r="E27" s="13" t="inlineStr">
        <is>
          <t>normatif</t>
        </is>
      </c>
    </row>
    <row r="28">
      <c r="A28" s="13" t="inlineStr">
        <is>
          <t xml:space="preserve">  resultat financier</t>
        </is>
      </c>
      <c r="C28" s="13" t="inlineStr">
        <is>
          <t>3</t>
        </is>
      </c>
      <c r="D28" s="13" t="inlineStr">
        <is>
          <t>3</t>
        </is>
      </c>
      <c r="E28" s="13" t="inlineStr">
        <is>
          <t>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</row>
    <row r="3">
      <c r="A3" s="10" t="inlineStr">
        <is>
          <t>Chiffre d'affaires</t>
        </is>
      </c>
      <c r="B3" s="15">
        <f>IF(ABS(Modele!C3-Modele!G3)&lt;0.01,"OK","ECART "&amp;TEXT(Modele!C3-Modele!G3,"0.00"))</f>
        <v/>
      </c>
      <c r="C3" s="15">
        <f>IF(ABS(Modele!D3-Modele!H3)&lt;0.01,"OK","ECART "&amp;TEXT(Modele!D3-Modele!H3,"0.00"))</f>
        <v/>
      </c>
      <c r="D3" s="15">
        <f>IF(ABS(Modele!E3-Modele!I3)&lt;0.01,"OK","ECART "&amp;TEXT(Modele!E3-Modele!I3,"0.00"))</f>
        <v/>
      </c>
    </row>
    <row r="4">
      <c r="A4" s="10" t="inlineStr">
        <is>
          <t>EBITDA</t>
        </is>
      </c>
      <c r="B4" s="15">
        <f>IF(ABS(Modele!C6-Modele!G6)&lt;0.01,"OK","ECART "&amp;TEXT(Modele!C6-Modele!G6,"0.00"))</f>
        <v/>
      </c>
      <c r="C4" s="15">
        <f>IF(ABS(Modele!D6-Modele!H6)&lt;0.01,"OK","ECART "&amp;TEXT(Modele!D6-Modele!H6,"0.00"))</f>
        <v/>
      </c>
      <c r="D4" s="15">
        <f>IF(ABS(Modele!E6-Modele!I6)&lt;0.01,"OK","ECART "&amp;TEXT(Modele!E6-Modele!I6,"0.00"))</f>
        <v/>
      </c>
    </row>
    <row r="5">
      <c r="A5" s="10" t="inlineStr">
        <is>
          <t>EBIT</t>
        </is>
      </c>
      <c r="B5" s="15">
        <f>IF(ABS(Modele!C10-Modele!G10)&lt;0.01,"OK","ECART "&amp;TEXT(Modele!C10-Modele!G10,"0.00"))</f>
        <v/>
      </c>
      <c r="C5" s="15">
        <f>IF(ABS(Modele!D10-Modele!H10)&lt;0.01,"OK","ECART "&amp;TEXT(Modele!D10-Modele!H10,"0.00"))</f>
        <v/>
      </c>
      <c r="D5" s="15">
        <f>IF(ABS(Modele!E10-Modele!I10)&lt;0.01,"OK","ECART "&amp;TEXT(Modele!E10-Modele!I10,"0.00"))</f>
        <v/>
      </c>
    </row>
    <row r="6">
      <c r="A6" s="10" t="inlineStr">
        <is>
          <t>Resultat avant impot</t>
        </is>
      </c>
      <c r="B6" s="15">
        <f>IF(ABS(Modele!C15-Modele!G15)&lt;0.01,"OK","ECART "&amp;TEXT(Modele!C15-Modele!G15,"0.00"))</f>
        <v/>
      </c>
      <c r="C6" s="15">
        <f>IF(ABS(Modele!D15-Modele!H15)&lt;0.01,"OK","ECART "&amp;TEXT(Modele!D15-Modele!H15,"0.00"))</f>
        <v/>
      </c>
      <c r="D6" s="15">
        <f>IF(ABS(Modele!E15-Modele!I15)&lt;0.01,"OK","ECART "&amp;TEXT(Modele!E15-Modele!I15,"0.00"))</f>
        <v/>
      </c>
    </row>
    <row r="7">
      <c r="A7" s="10" t="inlineStr">
        <is>
          <t>Impot</t>
        </is>
      </c>
      <c r="B7" s="15">
        <f>IF(ABS(Modele!C17-Modele!G17)&lt;0.01,"OK","ECART "&amp;TEXT(Modele!C17-Modele!G17,"0.00"))</f>
        <v/>
      </c>
      <c r="C7" s="15">
        <f>IF(ABS(Modele!D17-Modele!H17)&lt;0.01,"OK","ECART "&amp;TEXT(Modele!D17-Modele!H17,"0.00"))</f>
        <v/>
      </c>
      <c r="D7" s="15">
        <f>IF(ABS(Modele!E17-Modele!I17)&lt;0.01,"OK","ECART "&amp;TEXT(Modele!E17-Modele!I17,"0.00"))</f>
        <v/>
      </c>
    </row>
    <row r="8">
      <c r="A8" s="10" t="inlineStr">
        <is>
          <t>Resultat net</t>
        </is>
      </c>
      <c r="B8" s="15">
        <f>IF(ABS(Modele!C19-Modele!G19)&lt;0.01,"OK","ECART "&amp;TEXT(Modele!C19-Modele!G19,"0.00"))</f>
        <v/>
      </c>
      <c r="C8" s="15">
        <f>IF(ABS(Modele!D19-Modele!H19)&lt;0.01,"OK","ECART "&amp;TEXT(Modele!D19-Modele!H19,"0.00"))</f>
        <v/>
      </c>
      <c r="D8" s="15">
        <f>IF(ABS(Modele!E19-Modele!I19)&lt;0.01,"OK","ECART "&amp;TEXT(Modele!E19-Modele!I19,"0.00"))</f>
        <v/>
      </c>
    </row>
    <row r="9">
      <c r="A9" s="10" t="inlineStr">
        <is>
          <t>BPA</t>
        </is>
      </c>
      <c r="B9" s="15">
        <f>IF(ABS(Modele!C21-Modele!G21)&lt;0.01,"OK","ECART "&amp;TEXT(Modele!C21-Modele!G21,"0.00"))</f>
        <v/>
      </c>
      <c r="C9" s="15">
        <f>IF(ABS(Modele!D21-Modele!H21)&lt;0.01,"OK","ECART "&amp;TEXT(Modele!D21-Modele!H21,"0.00"))</f>
        <v/>
      </c>
      <c r="D9" s="15">
        <f>IF(ABS(Modele!E21-Modele!I21)&lt;0.01,"OK","ECART "&amp;TEXT(Modele!E21-Modele!I21,"0.00"))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5">
        <f>IF(COUNTBLANK(Hypotheses!$C$3:$C$17)=0,"OK","MOTEUR MANQUANT")</f>
        <v/>
      </c>
    </row>
    <row r="13">
      <c r="A13" s="10" t="inlineStr">
        <is>
          <t>Devise de reporting = devise de cotation (prop. 6)</t>
        </is>
      </c>
      <c r="B13" s="15">
        <f>IF(EXACT('Lisez-moi'!B10,'Lisez-moi'!B11),"OK","P/E INTERDIT SANS TAUX DATE")</f>
        <v/>
      </c>
    </row>
    <row r="15">
      <c r="A15" s="13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